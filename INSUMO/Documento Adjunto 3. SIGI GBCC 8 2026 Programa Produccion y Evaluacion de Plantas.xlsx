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[ SIGI 8 ]\2026 Metas e indicadores\M&amp;I SIGI 8 VF\"/>
    </mc:Choice>
  </mc:AlternateContent>
  <xr:revisionPtr revIDLastSave="0" documentId="13_ncr:1_{5E7F52D7-C935-4B51-8789-EE55C0D059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greso Datos" sheetId="10" r:id="rId1"/>
    <sheet name="DATOS" sheetId="3" r:id="rId2"/>
    <sheet name="Comunas y regiones" sheetId="9" state="hidden" r:id="rId3"/>
  </sheets>
  <definedNames>
    <definedName name="_xlnm._FilterDatabase" localSheetId="1" hidden="1">DATOS!$B$1:$D$907</definedName>
    <definedName name="destino_plantas">DATOS!#REF!</definedName>
    <definedName name="DESTINO_U_OBJETIVO_DE_LA_PRODUCCIÓN">DATOS!$Q$2:$Q$16</definedName>
    <definedName name="Nombre_cientifico">DATOS!$B$2:$B$890</definedName>
    <definedName name="NOMBRE_DE_VIVERO__CENTRO_DE_ACONDICIONAMIENTO_O_ACOPIO">DATOS!$H$2:$H$49</definedName>
    <definedName name="Pograma_Producción2020">#REF!</definedName>
    <definedName name="Región_de_Antofagasta">'Comunas y regiones'!$H$3:$H$54</definedName>
    <definedName name="Región_de_Arica_y_Parinacota">'Comunas y regiones'!$F$3:$F$54</definedName>
    <definedName name="Región_de_Atacama">'Comunas y regiones'!$I$3:$I$54</definedName>
    <definedName name="Región_de_Aysén_del_Gral_C_Ibáñez_del_Campo">'Comunas y regiones'!$S$3:$S$54</definedName>
    <definedName name="Región_de_Coquimbo">'Comunas y regiones'!$J$3:$J$54</definedName>
    <definedName name="Región_de_La_Araucanía">'Comunas y regiones'!$P$3:$P$54</definedName>
    <definedName name="Región_de_Los_Lagos">'Comunas y regiones'!$R$3:$R$54</definedName>
    <definedName name="Región_de_Los_Ríos">'Comunas y regiones'!$Q$3:$Q$54</definedName>
    <definedName name="Región_de_Magallanes_y_de_La_Antártica_Chilena">'Comunas y regiones'!$T$3:$T$54</definedName>
    <definedName name="Región_de_Ñuble">'Comunas y regiones'!$O$3:$O$54</definedName>
    <definedName name="Región_de_Tarapacá">'Comunas y regiones'!$G$3:$G$54</definedName>
    <definedName name="Región_de_Valparaíso">'Comunas y regiones'!$K$3:$K$54</definedName>
    <definedName name="Región_deArica_y_Parinacota">'Comunas y regiones'!$C$4:$D$4</definedName>
    <definedName name="Región_del_Bíobío">'Comunas y regiones'!$N$3:$N$54</definedName>
    <definedName name="Región_del_Libertador_B_O_Higgins">'Comunas y regiones'!$L$3:$L$54</definedName>
    <definedName name="Región_del_Maule">'Comunas y regiones'!$M$3:$M$54</definedName>
    <definedName name="Región_Metropolitana_de_Santiago">'Comunas y regiones'!$U$3:$U$54</definedName>
    <definedName name="Regiones_Chile">'Comunas y regiones'!$F$2:$U$2</definedName>
    <definedName name="TIPO_DE_CONTENEDOR">DATOS!$O$2:$O$7</definedName>
    <definedName name="TIPO_DE_REPRODUCCIÓN">DATOS!$N$2:$N$3</definedName>
    <definedName name="Uso">DATOS!#REF!</definedName>
    <definedName name="Usuario">DATOS!#REF!</definedName>
  </definedNames>
  <calcPr calcId="191029"/>
</workbook>
</file>

<file path=xl/calcChain.xml><?xml version="1.0" encoding="utf-8"?>
<calcChain xmlns="http://schemas.openxmlformats.org/spreadsheetml/2006/main">
  <c r="J6" i="10" l="1"/>
  <c r="K6" i="10"/>
  <c r="J7" i="10"/>
  <c r="K7" i="10"/>
  <c r="J8" i="10"/>
  <c r="K8" i="10"/>
  <c r="J9" i="10"/>
  <c r="K9" i="10"/>
  <c r="J10" i="10"/>
  <c r="K10" i="10"/>
  <c r="J11" i="10"/>
  <c r="K11" i="10"/>
  <c r="J12" i="10"/>
  <c r="K12" i="10"/>
  <c r="J13" i="10"/>
  <c r="K13" i="10"/>
  <c r="J14" i="10"/>
  <c r="K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28" i="10"/>
  <c r="K28" i="10"/>
  <c r="J29" i="10"/>
  <c r="K29" i="10"/>
  <c r="J30" i="10"/>
  <c r="K30" i="10"/>
  <c r="J31" i="10"/>
  <c r="K31" i="10"/>
  <c r="J32" i="10"/>
  <c r="K32" i="10"/>
  <c r="K5" i="10"/>
  <c r="J5" i="10"/>
  <c r="C11" i="10" l="1"/>
  <c r="D11" i="10"/>
  <c r="E11" i="10"/>
  <c r="C12" i="10"/>
  <c r="D12" i="10"/>
  <c r="E12" i="10"/>
  <c r="C13" i="10"/>
  <c r="D13" i="10"/>
  <c r="E13" i="10"/>
  <c r="C14" i="10"/>
  <c r="D14" i="10"/>
  <c r="E14" i="10"/>
  <c r="C15" i="10"/>
  <c r="D15" i="10"/>
  <c r="E15" i="10"/>
  <c r="C16" i="10"/>
  <c r="D16" i="10"/>
  <c r="E16" i="10"/>
  <c r="C17" i="10"/>
  <c r="D17" i="10"/>
  <c r="E17" i="10"/>
  <c r="C18" i="10"/>
  <c r="D18" i="10"/>
  <c r="E18" i="10"/>
  <c r="C19" i="10"/>
  <c r="D19" i="10"/>
  <c r="E19" i="10"/>
  <c r="C20" i="10"/>
  <c r="D20" i="10"/>
  <c r="E20" i="10"/>
  <c r="C21" i="10"/>
  <c r="D21" i="10"/>
  <c r="E21" i="10"/>
  <c r="C22" i="10"/>
  <c r="D22" i="10"/>
  <c r="E22" i="10"/>
  <c r="C23" i="10"/>
  <c r="D23" i="10"/>
  <c r="E23" i="10"/>
  <c r="C24" i="10"/>
  <c r="D24" i="10"/>
  <c r="E24" i="10"/>
  <c r="C25" i="10"/>
  <c r="D25" i="10"/>
  <c r="E25" i="10"/>
  <c r="C26" i="10"/>
  <c r="D26" i="10"/>
  <c r="E26" i="10"/>
  <c r="C27" i="10"/>
  <c r="D27" i="10"/>
  <c r="E27" i="10"/>
  <c r="C28" i="10"/>
  <c r="D28" i="10"/>
  <c r="E28" i="10"/>
  <c r="C29" i="10"/>
  <c r="D29" i="10"/>
  <c r="E29" i="10"/>
  <c r="C30" i="10"/>
  <c r="D30" i="10"/>
  <c r="E30" i="10"/>
  <c r="C31" i="10"/>
  <c r="D31" i="10"/>
  <c r="E31" i="10"/>
  <c r="C32" i="10"/>
  <c r="D32" i="10"/>
  <c r="E32" i="10"/>
  <c r="BC13" i="10"/>
  <c r="BC14" i="10"/>
  <c r="BC15" i="10"/>
  <c r="BC16" i="10"/>
  <c r="BC17" i="10"/>
  <c r="BC18" i="10"/>
  <c r="BC19" i="10"/>
  <c r="BC20" i="10"/>
  <c r="BC21" i="10"/>
  <c r="BC22" i="10"/>
  <c r="BC23" i="10"/>
  <c r="BC24" i="10"/>
  <c r="BC25" i="10"/>
  <c r="BC26" i="10"/>
  <c r="BC27" i="10"/>
  <c r="BC28" i="10"/>
  <c r="BC29" i="10"/>
  <c r="BC30" i="10"/>
  <c r="BC31" i="10"/>
  <c r="BC32" i="10"/>
  <c r="BA33" i="10"/>
  <c r="BB33" i="10"/>
  <c r="Z33" i="10"/>
  <c r="BC33" i="10" l="1"/>
  <c r="BC9" i="10" l="1"/>
  <c r="BC10" i="10"/>
  <c r="BC11" i="10"/>
  <c r="BC12" i="10"/>
  <c r="E10" i="10"/>
  <c r="D10" i="10"/>
  <c r="C10" i="10"/>
  <c r="E9" i="10"/>
  <c r="D9" i="10"/>
  <c r="C9" i="10"/>
  <c r="BC8" i="10"/>
  <c r="E8" i="10"/>
  <c r="D8" i="10"/>
  <c r="C8" i="10"/>
  <c r="BC7" i="10"/>
  <c r="E7" i="10"/>
  <c r="D7" i="10"/>
  <c r="C7" i="10"/>
  <c r="BC6" i="10"/>
  <c r="E6" i="10"/>
  <c r="D6" i="10"/>
  <c r="C6" i="10"/>
  <c r="BC5" i="10"/>
  <c r="E5" i="10"/>
  <c r="D5" i="10"/>
  <c r="C5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AB3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Nª semillas por kg,  según informacion bibliografica   o calculada con una muestra
(ver instructivo)
</t>
        </r>
      </text>
    </comment>
    <comment ref="AC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Porcentaje de Germinaciòn</t>
        </r>
        <r>
          <rPr>
            <sz val="9"/>
            <color indexed="81"/>
            <rFont val="Tahoma"/>
            <family val="2"/>
          </rPr>
          <t xml:space="preserve">
(valor decimal)
</t>
        </r>
      </text>
    </comment>
    <comment ref="AD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% Viabilidad de la Semilla</t>
        </r>
        <r>
          <rPr>
            <sz val="9"/>
            <color indexed="81"/>
            <rFont val="Tahoma"/>
            <family val="2"/>
          </rPr>
          <t xml:space="preserve">
(valor decimal)
</t>
        </r>
      </text>
    </comment>
    <comment ref="AE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% de sobrevivencia en Vivero (estimado) (valor decimal)
</t>
        </r>
      </text>
    </comment>
    <comment ref="AF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Formula de Cálculo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S =             </t>
        </r>
        <r>
          <rPr>
            <b/>
            <u/>
            <sz val="9"/>
            <color indexed="81"/>
            <rFont val="Tahoma"/>
            <family val="2"/>
          </rPr>
          <t xml:space="preserve">              Np                   
</t>
        </r>
        <r>
          <rPr>
            <b/>
            <sz val="9"/>
            <color indexed="81"/>
            <rFont val="Tahoma"/>
            <family val="2"/>
          </rPr>
          <t xml:space="preserve">                      (Ns x Pv x Pg x Ps)</t>
        </r>
        <r>
          <rPr>
            <sz val="9"/>
            <color indexed="81"/>
            <rFont val="Tahoma"/>
            <family val="2"/>
          </rPr>
          <t xml:space="preserve">
Donde:
</t>
        </r>
        <r>
          <rPr>
            <b/>
            <sz val="9"/>
            <color indexed="81"/>
            <rFont val="Tahoma"/>
            <family val="2"/>
          </rPr>
          <t xml:space="preserve">S </t>
        </r>
        <r>
          <rPr>
            <sz val="9"/>
            <color indexed="81"/>
            <rFont val="Tahoma"/>
            <family val="2"/>
          </rPr>
          <t xml:space="preserve">   = Cantidad de semillas  para producir las plantas requeridas (kg)
</t>
        </r>
        <r>
          <rPr>
            <b/>
            <sz val="9"/>
            <color indexed="81"/>
            <rFont val="Tahoma"/>
            <family val="2"/>
          </rPr>
          <t>Np</t>
        </r>
        <r>
          <rPr>
            <sz val="9"/>
            <color indexed="81"/>
            <rFont val="Tahoma"/>
            <family val="2"/>
          </rPr>
          <t xml:space="preserve"> = N° plantas a producir
</t>
        </r>
        <r>
          <rPr>
            <b/>
            <sz val="9"/>
            <color indexed="81"/>
            <rFont val="Tahoma"/>
            <family val="2"/>
          </rPr>
          <t>Ns</t>
        </r>
        <r>
          <rPr>
            <sz val="9"/>
            <color indexed="81"/>
            <rFont val="Tahoma"/>
            <family val="2"/>
          </rPr>
          <t xml:space="preserve"> = N° semillas por kg según especie
</t>
        </r>
        <r>
          <rPr>
            <b/>
            <sz val="9"/>
            <color indexed="81"/>
            <rFont val="Tahoma"/>
            <family val="2"/>
          </rPr>
          <t>Pv</t>
        </r>
        <r>
          <rPr>
            <sz val="9"/>
            <color indexed="81"/>
            <rFont val="Tahoma"/>
            <family val="2"/>
          </rPr>
          <t xml:space="preserve"> = Porcentaje de viabilidad (valor decimal)
</t>
        </r>
        <r>
          <rPr>
            <b/>
            <sz val="9"/>
            <color indexed="81"/>
            <rFont val="Tahoma"/>
            <family val="2"/>
          </rPr>
          <t xml:space="preserve">Pg </t>
        </r>
        <r>
          <rPr>
            <sz val="9"/>
            <color indexed="81"/>
            <rFont val="Tahoma"/>
            <family val="2"/>
          </rPr>
          <t xml:space="preserve">= Porcentaje de germinación (valor decimal)
</t>
        </r>
        <r>
          <rPr>
            <b/>
            <sz val="9"/>
            <color indexed="81"/>
            <rFont val="Tahoma"/>
            <family val="2"/>
          </rPr>
          <t xml:space="preserve">Ps </t>
        </r>
        <r>
          <rPr>
            <sz val="9"/>
            <color indexed="81"/>
            <rFont val="Tahoma"/>
            <family val="2"/>
          </rPr>
          <t xml:space="preserve">= Porcentaje de sobrevivencia  (valor decimal)
</t>
        </r>
        <r>
          <rPr>
            <b/>
            <sz val="9"/>
            <color indexed="81"/>
            <rFont val="Tahoma"/>
            <family val="2"/>
          </rPr>
          <t xml:space="preserve">
    Ps = (1-Pp)</t>
        </r>
        <r>
          <rPr>
            <sz val="9"/>
            <color indexed="81"/>
            <rFont val="Tahoma"/>
            <family val="2"/>
          </rPr>
          <t xml:space="preserve">
 Donde:
 </t>
        </r>
        <r>
          <rPr>
            <b/>
            <sz val="9"/>
            <color indexed="81"/>
            <rFont val="Tahoma"/>
            <family val="2"/>
          </rPr>
          <t>Pp</t>
        </r>
        <r>
          <rPr>
            <sz val="9"/>
            <color indexed="81"/>
            <rFont val="Tahoma"/>
            <family val="2"/>
          </rPr>
          <t xml:space="preserve"> = porcentaje de pérdida de plantas en el vivero. </t>
        </r>
      </text>
    </comment>
  </commentList>
</comments>
</file>

<file path=xl/sharedStrings.xml><?xml version="1.0" encoding="utf-8"?>
<sst xmlns="http://schemas.openxmlformats.org/spreadsheetml/2006/main" count="5036" uniqueCount="2375">
  <si>
    <t>Nombre Científico</t>
  </si>
  <si>
    <t>Nombre Común</t>
  </si>
  <si>
    <t>Abelia x grandiflora</t>
  </si>
  <si>
    <t>Abelia</t>
  </si>
  <si>
    <t>Abies alba</t>
  </si>
  <si>
    <t>Abeto blanco</t>
  </si>
  <si>
    <t>Abutilon incanum</t>
  </si>
  <si>
    <t>Espino</t>
  </si>
  <si>
    <t>Acacia azul</t>
  </si>
  <si>
    <t>Acacia cultriformis</t>
  </si>
  <si>
    <t>Acacia</t>
  </si>
  <si>
    <t>Acacia cyclops</t>
  </si>
  <si>
    <t>Acacia dealbata</t>
  </si>
  <si>
    <t>Acacia longifolia</t>
  </si>
  <si>
    <t>Acacia macracantha</t>
  </si>
  <si>
    <t>Acacia melanoxylon</t>
  </si>
  <si>
    <t>Acacia rubida</t>
  </si>
  <si>
    <t>Acacia salicina</t>
  </si>
  <si>
    <t>Acacia semperflorens</t>
  </si>
  <si>
    <t>Acacia senegal</t>
  </si>
  <si>
    <t>Acacia trinervis</t>
  </si>
  <si>
    <t>Acacia victoriae</t>
  </si>
  <si>
    <t>Acacia visco</t>
  </si>
  <si>
    <t>Vilca</t>
  </si>
  <si>
    <t>Adesmia</t>
  </si>
  <si>
    <t>Adesmia hystrix</t>
  </si>
  <si>
    <t>Adesmia loudonia</t>
  </si>
  <si>
    <t>Adesmia phylloidea</t>
  </si>
  <si>
    <t>Adesmia radicifolia</t>
  </si>
  <si>
    <t>Adiantum chilense</t>
  </si>
  <si>
    <t>Aesculus hippocastanum</t>
  </si>
  <si>
    <t>Aesculus x carnea</t>
  </si>
  <si>
    <t>Aextoxicon punctatum</t>
  </si>
  <si>
    <t>Ailanthus altissima</t>
  </si>
  <si>
    <t>Albizia julibrissin</t>
  </si>
  <si>
    <t>Albizia lebbeck</t>
  </si>
  <si>
    <t>Albizia lophanta</t>
  </si>
  <si>
    <t>Alnus acuminata</t>
  </si>
  <si>
    <t>Alnus glutinosa</t>
  </si>
  <si>
    <t>Ammophila arenaria</t>
  </si>
  <si>
    <t>Amomyrtus luma</t>
  </si>
  <si>
    <t>Luma</t>
  </si>
  <si>
    <t>Amomyrtus meli</t>
  </si>
  <si>
    <t>Meli</t>
  </si>
  <si>
    <t>Anisomeria coriacea</t>
  </si>
  <si>
    <t>Pircún</t>
  </si>
  <si>
    <t>Anisomeria littoralis</t>
  </si>
  <si>
    <t>Aptenia cordifolia</t>
  </si>
  <si>
    <t>Araucaria angustifolia</t>
  </si>
  <si>
    <t>Pino de Brasil</t>
  </si>
  <si>
    <t>Araucaria araucana</t>
  </si>
  <si>
    <t>Araucaria</t>
  </si>
  <si>
    <t>Araucaria bidwillii</t>
  </si>
  <si>
    <t>Araucaria heterophylla</t>
  </si>
  <si>
    <t>Araucaria excelsa</t>
  </si>
  <si>
    <t>Arbutus unedo</t>
  </si>
  <si>
    <t>Madroño</t>
  </si>
  <si>
    <t>Argythamnia berteroana</t>
  </si>
  <si>
    <t>Ventosilla</t>
  </si>
  <si>
    <t>Argythamnia tricuspidata</t>
  </si>
  <si>
    <t>Aristotelia chilensis</t>
  </si>
  <si>
    <t>Maqui</t>
  </si>
  <si>
    <t>Artemisia absinthium</t>
  </si>
  <si>
    <t>Ajenjo</t>
  </si>
  <si>
    <t>Anisillo</t>
  </si>
  <si>
    <t>Astragalus paposanus</t>
  </si>
  <si>
    <t>Atriplex nummularia</t>
  </si>
  <si>
    <t>Atriplex repanda</t>
  </si>
  <si>
    <t>Atriplex semibaccata</t>
  </si>
  <si>
    <t>Atriplex taltalensis</t>
  </si>
  <si>
    <t>Cachiyuyo</t>
  </si>
  <si>
    <t>Austrocedrus chilensis</t>
  </si>
  <si>
    <t>Avellanita bustillosii</t>
  </si>
  <si>
    <t>Avellanita</t>
  </si>
  <si>
    <t>Azara celastrina</t>
  </si>
  <si>
    <t>Azara dentata</t>
  </si>
  <si>
    <t>Corcolén</t>
  </si>
  <si>
    <t>Azara integrifolia</t>
  </si>
  <si>
    <t>Azara microphylla</t>
  </si>
  <si>
    <t>Azara petiolaris</t>
  </si>
  <si>
    <t>Azorella compacta</t>
  </si>
  <si>
    <t>Llareta</t>
  </si>
  <si>
    <t>Tolita</t>
  </si>
  <si>
    <t>Baccharis concava</t>
  </si>
  <si>
    <t>Vautro</t>
  </si>
  <si>
    <t>Baccharis genistelloides</t>
  </si>
  <si>
    <t>Quimsa chucu</t>
  </si>
  <si>
    <t>Baccharis linearis</t>
  </si>
  <si>
    <t>Romerillo</t>
  </si>
  <si>
    <t>Baccharis rhomboidalis</t>
  </si>
  <si>
    <t>Chilca</t>
  </si>
  <si>
    <t>Baccharis sagittalis</t>
  </si>
  <si>
    <t>Verbena de tres esquinas</t>
  </si>
  <si>
    <t>Baccharis salicifolia</t>
  </si>
  <si>
    <t>Baccharis scandens</t>
  </si>
  <si>
    <t>Baccharis sphaerocephala</t>
  </si>
  <si>
    <t>Radín</t>
  </si>
  <si>
    <t>Baccharis tola</t>
  </si>
  <si>
    <t>Balbisia peduncularis</t>
  </si>
  <si>
    <t>Balsamocarpon brevifolium</t>
  </si>
  <si>
    <t>Algarrobilla</t>
  </si>
  <si>
    <t>Bartsia chilensis</t>
  </si>
  <si>
    <t>Bartsia</t>
  </si>
  <si>
    <t>Beilschmiedia berteroana</t>
  </si>
  <si>
    <t>Beilschmiedia miersii</t>
  </si>
  <si>
    <t>Berberidopsis corallina</t>
  </si>
  <si>
    <t>Calafate</t>
  </si>
  <si>
    <t>Berberis chilensis</t>
  </si>
  <si>
    <t>Michay</t>
  </si>
  <si>
    <t>Berberis corymbosa</t>
  </si>
  <si>
    <t>Berberis darwinii</t>
  </si>
  <si>
    <t>Berberis empetrifolia</t>
  </si>
  <si>
    <t>Berberis grevilleana</t>
  </si>
  <si>
    <t>Berberis ilicifolia</t>
  </si>
  <si>
    <t>Berberis linearifolia</t>
  </si>
  <si>
    <t>Berberis litoralis</t>
  </si>
  <si>
    <t>Berberis montana</t>
  </si>
  <si>
    <t>Palo amarillo</t>
  </si>
  <si>
    <t>Berberis negeriana</t>
  </si>
  <si>
    <t>Berberis</t>
  </si>
  <si>
    <t>Berberis thunbergii</t>
  </si>
  <si>
    <t>Berberis trigona</t>
  </si>
  <si>
    <t>Berberis valdiviana</t>
  </si>
  <si>
    <t>Betula papyrifera</t>
  </si>
  <si>
    <t>Abedul papirífero</t>
  </si>
  <si>
    <t>Betula pendula</t>
  </si>
  <si>
    <t>Abedul</t>
  </si>
  <si>
    <t>Blechnum arcuatum</t>
  </si>
  <si>
    <t>Palmita</t>
  </si>
  <si>
    <t>Costilla de vaca</t>
  </si>
  <si>
    <t>Helecho palmilla</t>
  </si>
  <si>
    <t>Blechnum hastatum</t>
  </si>
  <si>
    <t>Blechnum magellanicum</t>
  </si>
  <si>
    <t>Palmilla</t>
  </si>
  <si>
    <t>Blepharocalyx cruckshanksii</t>
  </si>
  <si>
    <t>Temu</t>
  </si>
  <si>
    <t>Boehmeria excelsa</t>
  </si>
  <si>
    <t>Manzano</t>
  </si>
  <si>
    <t>Boquila trifoliolata</t>
  </si>
  <si>
    <t>Bugambilia</t>
  </si>
  <si>
    <t>Bougainvillea spectabilis</t>
  </si>
  <si>
    <t>Brachychiton discolor</t>
  </si>
  <si>
    <t>Brachychiton populneus</t>
  </si>
  <si>
    <t>Brahea armata</t>
  </si>
  <si>
    <t>Brahea edulis</t>
  </si>
  <si>
    <t>Bridgesia incisifolia</t>
  </si>
  <si>
    <t>Broussonetia papyrifera</t>
  </si>
  <si>
    <t>Browningia candelaris</t>
  </si>
  <si>
    <t>Candelabro</t>
  </si>
  <si>
    <t>Buddleja globosa</t>
  </si>
  <si>
    <t>Matico</t>
  </si>
  <si>
    <t>Bulnesia chilensis</t>
  </si>
  <si>
    <t>Butia capitata</t>
  </si>
  <si>
    <t>Buxus sempervirens</t>
  </si>
  <si>
    <t>Caesalpinia gilliesii</t>
  </si>
  <si>
    <t>Ponciano</t>
  </si>
  <si>
    <t>Caesalpinia major</t>
  </si>
  <si>
    <t>Caesalpinia spinosa</t>
  </si>
  <si>
    <t>Tara</t>
  </si>
  <si>
    <t>Caldcluvia paniculata</t>
  </si>
  <si>
    <t>Tiaca</t>
  </si>
  <si>
    <t>Callistemon speciosus</t>
  </si>
  <si>
    <t>Camellia japonica</t>
  </si>
  <si>
    <t>Camelia</t>
  </si>
  <si>
    <t>Campsidium valdivianum</t>
  </si>
  <si>
    <t>Voqui de canasta</t>
  </si>
  <si>
    <t>Cantua buxifolia</t>
  </si>
  <si>
    <t>Qantu</t>
  </si>
  <si>
    <t>Capparis spinosa</t>
  </si>
  <si>
    <t>Alcaparro</t>
  </si>
  <si>
    <t>Caragana spinosa</t>
  </si>
  <si>
    <t>Caragana</t>
  </si>
  <si>
    <t>Carex comans amazon mist</t>
  </si>
  <si>
    <t>Carex comans bronze</t>
  </si>
  <si>
    <t>Carex hachijoensis</t>
  </si>
  <si>
    <t>Doca</t>
  </si>
  <si>
    <t>Quebracho</t>
  </si>
  <si>
    <t>Castanea sativa</t>
  </si>
  <si>
    <t>Casuarina equisetifolia</t>
  </si>
  <si>
    <t>Casuarina</t>
  </si>
  <si>
    <t>Casuarina stricta</t>
  </si>
  <si>
    <t>Catalpa bignonioides</t>
  </si>
  <si>
    <t>Catalpa</t>
  </si>
  <si>
    <t>Cedrela odorata</t>
  </si>
  <si>
    <t>Cedrus atlantica</t>
  </si>
  <si>
    <t>Cedrus deodara</t>
  </si>
  <si>
    <t>Cedrus libani</t>
  </si>
  <si>
    <t>Celtis australis</t>
  </si>
  <si>
    <t>Centaurea cachinalensis</t>
  </si>
  <si>
    <t>Flor del minero</t>
  </si>
  <si>
    <t>Centaurium cachanlahuen</t>
  </si>
  <si>
    <t>Ceratonia siliqua</t>
  </si>
  <si>
    <t>Cercis siliquastrum</t>
  </si>
  <si>
    <t>Cestrum parqui</t>
  </si>
  <si>
    <t>Palqui</t>
  </si>
  <si>
    <t>Chamaecyparis lawsoniana</t>
  </si>
  <si>
    <t>Chamaemelum nobile</t>
  </si>
  <si>
    <t>Manzanilla</t>
  </si>
  <si>
    <t>Paico</t>
  </si>
  <si>
    <t>Chenopodium sanctae-clarae</t>
  </si>
  <si>
    <t>Chorizanthe vaginata</t>
  </si>
  <si>
    <t>Sanguinaria</t>
  </si>
  <si>
    <t>Vetiver</t>
  </si>
  <si>
    <t>Chuquiraga oppositifolia</t>
  </si>
  <si>
    <t>Chusquea culeou</t>
  </si>
  <si>
    <t>Colihue</t>
  </si>
  <si>
    <t>Chusquea cumingii</t>
  </si>
  <si>
    <t>Quila chica</t>
  </si>
  <si>
    <t>Chusquea quila</t>
  </si>
  <si>
    <t>Quila</t>
  </si>
  <si>
    <t>Chusquea uliginosa</t>
  </si>
  <si>
    <t>Quililla</t>
  </si>
  <si>
    <t>Cissus striata</t>
  </si>
  <si>
    <t>Citrus reticulata</t>
  </si>
  <si>
    <t>Mandarino</t>
  </si>
  <si>
    <t>Citrus x limon</t>
  </si>
  <si>
    <t>Limonero</t>
  </si>
  <si>
    <t>Citrus x nobilis</t>
  </si>
  <si>
    <t>Citrus x sinensis</t>
  </si>
  <si>
    <t>Naranjo</t>
  </si>
  <si>
    <t>Citrus x tangerina</t>
  </si>
  <si>
    <t>Colletia hystrix</t>
  </si>
  <si>
    <t>Crucero</t>
  </si>
  <si>
    <t>Colletia ulicina</t>
  </si>
  <si>
    <t>Colliguaja dombeyana</t>
  </si>
  <si>
    <t>Colliguay</t>
  </si>
  <si>
    <t>Colliguaja integerrima</t>
  </si>
  <si>
    <t>Colliguaja odorifera</t>
  </si>
  <si>
    <t>Conanthera bifolia</t>
  </si>
  <si>
    <t>Pajarito</t>
  </si>
  <si>
    <t>Copiapoa cinerea</t>
  </si>
  <si>
    <t>Copiapoa dealbata</t>
  </si>
  <si>
    <t>Coprosma baueri</t>
  </si>
  <si>
    <t>Coprosma</t>
  </si>
  <si>
    <t>Coprosma oliveri</t>
  </si>
  <si>
    <t>Coprosma pyrifolia</t>
  </si>
  <si>
    <t>Peralillo</t>
  </si>
  <si>
    <t>Coprosma repens</t>
  </si>
  <si>
    <t>Carbonillo</t>
  </si>
  <si>
    <t>Cordia decandra</t>
  </si>
  <si>
    <t>Cordyline australis</t>
  </si>
  <si>
    <t>Cordiline</t>
  </si>
  <si>
    <t>Cordyline indivisa</t>
  </si>
  <si>
    <t>Coreopsis fasciculata</t>
  </si>
  <si>
    <t>Misico</t>
  </si>
  <si>
    <t>Corryocactus brevistylus</t>
  </si>
  <si>
    <t>Quisco de flores amarillas</t>
  </si>
  <si>
    <t>Corylus avellana</t>
  </si>
  <si>
    <t>Avellano común</t>
  </si>
  <si>
    <t>Corymbia citriodora</t>
  </si>
  <si>
    <t>Eucalipto olor de limón</t>
  </si>
  <si>
    <t>Corymbia ficifolia</t>
  </si>
  <si>
    <t>Eucalipto de flores rojas</t>
  </si>
  <si>
    <t>Corynabutilon ceratocarpum</t>
  </si>
  <si>
    <t>Corynabutilon ochsenii</t>
  </si>
  <si>
    <t>Huella chica</t>
  </si>
  <si>
    <t>Corynabutilon viride</t>
  </si>
  <si>
    <t>Huella verde</t>
  </si>
  <si>
    <t>Corynabutilon vitifolium</t>
  </si>
  <si>
    <t>Huella</t>
  </si>
  <si>
    <t>Cotoneaster horizontalis</t>
  </si>
  <si>
    <t>Cotoneaster salicifolius</t>
  </si>
  <si>
    <t>Crataegus monogyna</t>
  </si>
  <si>
    <t>Crataegus</t>
  </si>
  <si>
    <t>Crataegus oxyacantha</t>
  </si>
  <si>
    <t>Crinodendron hookerianum</t>
  </si>
  <si>
    <t>Chaquihue</t>
  </si>
  <si>
    <t>Crinodendron patagua</t>
  </si>
  <si>
    <t>Patagua</t>
  </si>
  <si>
    <t>Cristaria integerrima</t>
  </si>
  <si>
    <t>Malvilla</t>
  </si>
  <si>
    <t>Croton chilensis</t>
  </si>
  <si>
    <t>Cryptocarya alba</t>
  </si>
  <si>
    <t>Peumo</t>
  </si>
  <si>
    <t>Cryptomeria japonica</t>
  </si>
  <si>
    <t>Mentita de Juan Fernández</t>
  </si>
  <si>
    <t>Cupressus arizonica</t>
  </si>
  <si>
    <t>Cupressus funebris</t>
  </si>
  <si>
    <t>Cupressus lusitanica</t>
  </si>
  <si>
    <t>Cupressus macrocarpa</t>
  </si>
  <si>
    <t>Cupressus sempervirens</t>
  </si>
  <si>
    <t>Cupressus torulosa</t>
  </si>
  <si>
    <t>Cydonia oblonga</t>
  </si>
  <si>
    <t>Membrillo</t>
  </si>
  <si>
    <t>Cytisus striatus</t>
  </si>
  <si>
    <t>Escobón</t>
  </si>
  <si>
    <t>Dalea azurea</t>
  </si>
  <si>
    <t>Dalea</t>
  </si>
  <si>
    <t>Dasyphyllum diacanthoides</t>
  </si>
  <si>
    <t>Trevo</t>
  </si>
  <si>
    <t>Delonix regia</t>
  </si>
  <si>
    <t>Framboyán</t>
  </si>
  <si>
    <t>Dendroseris gigantea</t>
  </si>
  <si>
    <t>Dendroseris litoralis</t>
  </si>
  <si>
    <t>Dendroseris macrantha</t>
  </si>
  <si>
    <t>Dendroseris marginata</t>
  </si>
  <si>
    <t>Dendroseris neriifolia</t>
  </si>
  <si>
    <t>Dendroseris pruinata</t>
  </si>
  <si>
    <t>Dennstaedtia glauca</t>
  </si>
  <si>
    <t>Desfontainia spinosa</t>
  </si>
  <si>
    <t>Taique</t>
  </si>
  <si>
    <t>Deuterocohnia chrysantha</t>
  </si>
  <si>
    <t>Dicksonia berteroana</t>
  </si>
  <si>
    <t>Discaria chacaye</t>
  </si>
  <si>
    <t>Discaria serratifolia</t>
  </si>
  <si>
    <t>Dodonaea viscosa</t>
  </si>
  <si>
    <t>Dodonea</t>
  </si>
  <si>
    <t>Donatia fascicularis</t>
  </si>
  <si>
    <t>Drimys confertifolia</t>
  </si>
  <si>
    <t>Canelo de Juan Fernández</t>
  </si>
  <si>
    <t>Drimys winteri</t>
  </si>
  <si>
    <t>Canelo</t>
  </si>
  <si>
    <t>Echinopsis atacamensis</t>
  </si>
  <si>
    <t>Quisco</t>
  </si>
  <si>
    <t>Elaeagnus angustifolia</t>
  </si>
  <si>
    <t>Elaeagnus pungens</t>
  </si>
  <si>
    <t>Eleagno</t>
  </si>
  <si>
    <t>Elymus arenarius</t>
  </si>
  <si>
    <t>Elytropus chilensis</t>
  </si>
  <si>
    <t>Quilmay</t>
  </si>
  <si>
    <t>Embothrium coccineum</t>
  </si>
  <si>
    <t>Ephedra breana</t>
  </si>
  <si>
    <t>Ephedra chilensis</t>
  </si>
  <si>
    <t>Equisetum bogotense</t>
  </si>
  <si>
    <t>Equisetum giganteum</t>
  </si>
  <si>
    <t>Erigeron fernandezianus</t>
  </si>
  <si>
    <t>Eriosyce aspillagae</t>
  </si>
  <si>
    <t>Cactus de Tanumé</t>
  </si>
  <si>
    <t>Eriosyce chilensis</t>
  </si>
  <si>
    <t>Chilenito</t>
  </si>
  <si>
    <t>Eriosyce curvispina</t>
  </si>
  <si>
    <t>Quisquito colorado</t>
  </si>
  <si>
    <t>Eriosyce napina</t>
  </si>
  <si>
    <t>Eriosyce rodentiophila</t>
  </si>
  <si>
    <t>Eriosyce senilis</t>
  </si>
  <si>
    <t>Viejito</t>
  </si>
  <si>
    <t>Eriosyce subgibbosa</t>
  </si>
  <si>
    <t>Quisquito</t>
  </si>
  <si>
    <t>Erodium moschatum</t>
  </si>
  <si>
    <t>Alfilerillo</t>
  </si>
  <si>
    <t>Eryngium bupleuroides</t>
  </si>
  <si>
    <t>Erythrina crista-galli</t>
  </si>
  <si>
    <t>Ceibo</t>
  </si>
  <si>
    <t>Erythrina umbrosa</t>
  </si>
  <si>
    <t>Escallonia alpina</t>
  </si>
  <si>
    <t>Ñipas</t>
  </si>
  <si>
    <t>Escallonia callcottiae</t>
  </si>
  <si>
    <t>Barraco</t>
  </si>
  <si>
    <t>Escallonia illinita</t>
  </si>
  <si>
    <t>Escallonia myrtoidea</t>
  </si>
  <si>
    <t>Escallonia pulverulenta</t>
  </si>
  <si>
    <t>Escallonia revoluta</t>
  </si>
  <si>
    <t>Escallonia rubra</t>
  </si>
  <si>
    <t>Escallonia virgata</t>
  </si>
  <si>
    <t>Eucalyptus camaldulensis</t>
  </si>
  <si>
    <t>Eucalyptus cladocalyx</t>
  </si>
  <si>
    <t>Eucalyptus delegatensis</t>
  </si>
  <si>
    <t>Eucalipto delegatensis</t>
  </si>
  <si>
    <t>Eucalyptus globulus</t>
  </si>
  <si>
    <t>Eucalyptus gomphocephala</t>
  </si>
  <si>
    <t>Eucalipto gomphocephala</t>
  </si>
  <si>
    <t>Eucalyptus gunnii</t>
  </si>
  <si>
    <t>Eucalyptus nitens</t>
  </si>
  <si>
    <t>Eucalyptus regnans</t>
  </si>
  <si>
    <t>Eucalipto regnans</t>
  </si>
  <si>
    <t>Eucalyptus robusta</t>
  </si>
  <si>
    <t>Eucalipto robusta</t>
  </si>
  <si>
    <t>Eucalyptus sideroxylon</t>
  </si>
  <si>
    <t>Eucalipto</t>
  </si>
  <si>
    <t>Eucalyptus torquata</t>
  </si>
  <si>
    <t>Eucalyptus viminalis</t>
  </si>
  <si>
    <t>Eucalipto viminalis</t>
  </si>
  <si>
    <t>Eucryphia cordifolia</t>
  </si>
  <si>
    <t>Ulmo</t>
  </si>
  <si>
    <t>Eucryphia glutinosa</t>
  </si>
  <si>
    <t>Eulychnia acida</t>
  </si>
  <si>
    <t>Copao</t>
  </si>
  <si>
    <t>Eulychnia iquiquensis</t>
  </si>
  <si>
    <t>Euonymus europaeus</t>
  </si>
  <si>
    <t>Bonetero</t>
  </si>
  <si>
    <t>Euonymus japonicus</t>
  </si>
  <si>
    <t>Euphorbia cotinifolia</t>
  </si>
  <si>
    <t>Euphorbia lactiflua</t>
  </si>
  <si>
    <t>Euphorbia pulcherrima</t>
  </si>
  <si>
    <t>Pastora</t>
  </si>
  <si>
    <t>Fabiana imbricata</t>
  </si>
  <si>
    <t>Pichirromero</t>
  </si>
  <si>
    <t>Fagara mayu</t>
  </si>
  <si>
    <t>Naranjillo</t>
  </si>
  <si>
    <t>Fagus grandifolia</t>
  </si>
  <si>
    <t>Haya americana</t>
  </si>
  <si>
    <t>Fagus sylvatica</t>
  </si>
  <si>
    <t>Haya común</t>
  </si>
  <si>
    <t>Falcataria moluccana</t>
  </si>
  <si>
    <t>Fascicularia bicolor</t>
  </si>
  <si>
    <t>Chupalla</t>
  </si>
  <si>
    <t>Festuca orthophylla</t>
  </si>
  <si>
    <t>Festuca rubra</t>
  </si>
  <si>
    <t>Ficus benjamina</t>
  </si>
  <si>
    <t>Ficus carica</t>
  </si>
  <si>
    <t>Higuera</t>
  </si>
  <si>
    <t>Ficus elastica</t>
  </si>
  <si>
    <t>Gomero</t>
  </si>
  <si>
    <t>Fitzroya cupressoides</t>
  </si>
  <si>
    <t>Alerce</t>
  </si>
  <si>
    <t>Flourensia thurifera</t>
  </si>
  <si>
    <t>Incienso</t>
  </si>
  <si>
    <t>Fragaria chiloensis</t>
  </si>
  <si>
    <t>Frutilla silvestre</t>
  </si>
  <si>
    <t>Fraxinus angustifolia</t>
  </si>
  <si>
    <t>Fresno de hojas estrechas</t>
  </si>
  <si>
    <t>Fraxinus excelsior</t>
  </si>
  <si>
    <t>Fresno</t>
  </si>
  <si>
    <t>Fraxinus ornus</t>
  </si>
  <si>
    <t>Fuchsia lycioides</t>
  </si>
  <si>
    <t>Palo de yegua</t>
  </si>
  <si>
    <t>Fuchsia magellanica</t>
  </si>
  <si>
    <t>Gaultheria mucronata</t>
  </si>
  <si>
    <t>Chaura</t>
  </si>
  <si>
    <t>Gaultheria phillyreifolia</t>
  </si>
  <si>
    <t>Gaultheria pumila</t>
  </si>
  <si>
    <t>Gaultheria renjifoana</t>
  </si>
  <si>
    <t>Gaultheria tenuifolia</t>
  </si>
  <si>
    <t>Genista hispanica</t>
  </si>
  <si>
    <t>Geoffroea decorticans</t>
  </si>
  <si>
    <t>Chañar</t>
  </si>
  <si>
    <t>Geum chiloense</t>
  </si>
  <si>
    <t>Gevuina avellana</t>
  </si>
  <si>
    <t>Avellano</t>
  </si>
  <si>
    <t>Ginkgo biloba</t>
  </si>
  <si>
    <t>Gleditsia triacanthos</t>
  </si>
  <si>
    <t>Gleichenia cryptocarpa</t>
  </si>
  <si>
    <t>Yerba loza</t>
  </si>
  <si>
    <t>Gnaphalium viravira</t>
  </si>
  <si>
    <t>Gomortega keule</t>
  </si>
  <si>
    <t>Grabowskia glauca</t>
  </si>
  <si>
    <t>Helecho común</t>
  </si>
  <si>
    <t>Grammitis poeppigiana</t>
  </si>
  <si>
    <t>Greigia sphacelata</t>
  </si>
  <si>
    <t>Chupón</t>
  </si>
  <si>
    <t>Grevillea robusta</t>
  </si>
  <si>
    <t>Griselinia jodinifolia</t>
  </si>
  <si>
    <t>Patagua marina</t>
  </si>
  <si>
    <t>Gunnera bracteata</t>
  </si>
  <si>
    <t>Pangue</t>
  </si>
  <si>
    <t>Gunnera peltata</t>
  </si>
  <si>
    <t>Gunnera tinctoria</t>
  </si>
  <si>
    <t>Nalca</t>
  </si>
  <si>
    <t>Haloragis masatierrana</t>
  </si>
  <si>
    <t>Haloragis</t>
  </si>
  <si>
    <t>Carza</t>
  </si>
  <si>
    <t>Hebe andersonii</t>
  </si>
  <si>
    <t>Verónica</t>
  </si>
  <si>
    <t>Hebe</t>
  </si>
  <si>
    <t>Hibiscus rosa-sinensis</t>
  </si>
  <si>
    <t>Cucarda</t>
  </si>
  <si>
    <t>Hibiscus syriacus</t>
  </si>
  <si>
    <t>Rosa de Siria</t>
  </si>
  <si>
    <t>Huperzia fuegiana</t>
  </si>
  <si>
    <t>Licopodio</t>
  </si>
  <si>
    <t>Hydrangea macrophylla</t>
  </si>
  <si>
    <t>Ilex aquifolium</t>
  </si>
  <si>
    <t>Acebo</t>
  </si>
  <si>
    <t>Inga edulis</t>
  </si>
  <si>
    <t>Ingá</t>
  </si>
  <si>
    <t>Jacaranda angustifolia</t>
  </si>
  <si>
    <t>Jacarandá</t>
  </si>
  <si>
    <t>Jacaranda mimosifolia</t>
  </si>
  <si>
    <t>Juania australis</t>
  </si>
  <si>
    <t>Chonta</t>
  </si>
  <si>
    <t>Jubaea chilensis</t>
  </si>
  <si>
    <t>Juglans nigra</t>
  </si>
  <si>
    <t>Juglans regia</t>
  </si>
  <si>
    <t>Juniperus communis</t>
  </si>
  <si>
    <t>Enebro</t>
  </si>
  <si>
    <t>Juniperus horizontalis</t>
  </si>
  <si>
    <t>Junípero horizontal</t>
  </si>
  <si>
    <t>Kageneckia angustifolia</t>
  </si>
  <si>
    <t>Frangel</t>
  </si>
  <si>
    <t>Kageneckia oblonga</t>
  </si>
  <si>
    <t>Koelreuteria paniculata</t>
  </si>
  <si>
    <t>Krameria cistoidea</t>
  </si>
  <si>
    <t>Pacul</t>
  </si>
  <si>
    <t>Laburnum anagyroides</t>
  </si>
  <si>
    <t>Lactoris fernandeziana</t>
  </si>
  <si>
    <t>Lagerstroemia indica</t>
  </si>
  <si>
    <t>Lagunaria patersonia</t>
  </si>
  <si>
    <t>Lagunaria</t>
  </si>
  <si>
    <t>Camará</t>
  </si>
  <si>
    <t>Lapageria rosea</t>
  </si>
  <si>
    <t xml:space="preserve">Copihue </t>
  </si>
  <si>
    <t>Lardizabala biternata</t>
  </si>
  <si>
    <t>Coile</t>
  </si>
  <si>
    <t>Laretia acaulis</t>
  </si>
  <si>
    <t>Larix decidua</t>
  </si>
  <si>
    <t>Alerce europeo</t>
  </si>
  <si>
    <t>Larrea nitida</t>
  </si>
  <si>
    <t>Jarilla</t>
  </si>
  <si>
    <t>Lathyrus maritimus</t>
  </si>
  <si>
    <t>Latua pubiflora</t>
  </si>
  <si>
    <t>Latue</t>
  </si>
  <si>
    <t>Laurelia sempervirens</t>
  </si>
  <si>
    <t>Laurel</t>
  </si>
  <si>
    <t>Laureliopsis philippiana</t>
  </si>
  <si>
    <t>Tepa</t>
  </si>
  <si>
    <t>Laurus nobilis</t>
  </si>
  <si>
    <t>Lavandula angustifolia</t>
  </si>
  <si>
    <t>Lavanda</t>
  </si>
  <si>
    <t>Lavandula latifolia</t>
  </si>
  <si>
    <t>Legrandia concinna</t>
  </si>
  <si>
    <t>Ciprés enano</t>
  </si>
  <si>
    <t>Palo negro</t>
  </si>
  <si>
    <t>Leucaena glauca</t>
  </si>
  <si>
    <t>Leucaena leucocephala</t>
  </si>
  <si>
    <t>Libertia chilensis</t>
  </si>
  <si>
    <t>Ligustrum lucidum</t>
  </si>
  <si>
    <t>Ligustro</t>
  </si>
  <si>
    <t>Ligustrum sinense</t>
  </si>
  <si>
    <t>Aligustrina</t>
  </si>
  <si>
    <t>Ligustrum vulgare</t>
  </si>
  <si>
    <t>Aligustre</t>
  </si>
  <si>
    <t>Liquidambar styraciflua</t>
  </si>
  <si>
    <t>Liquidámbar</t>
  </si>
  <si>
    <t>Liriodendron tulipifera</t>
  </si>
  <si>
    <t>Lithraea caustica</t>
  </si>
  <si>
    <t>Litre</t>
  </si>
  <si>
    <t>Livistonia chinensis</t>
  </si>
  <si>
    <t>Llagunoa glandulosa</t>
  </si>
  <si>
    <t>Atutemo</t>
  </si>
  <si>
    <t>Lobelia bridgesii</t>
  </si>
  <si>
    <t>Tupa rosada</t>
  </si>
  <si>
    <t>Lobelia excelsa</t>
  </si>
  <si>
    <t>Tupa</t>
  </si>
  <si>
    <t>Lobelia polyphylla</t>
  </si>
  <si>
    <t>Lobelia tupa</t>
  </si>
  <si>
    <t>Lolium multifloreum</t>
  </si>
  <si>
    <t>Lomatia dentata</t>
  </si>
  <si>
    <t>Lomatia ferruginea</t>
  </si>
  <si>
    <t>Fuinque</t>
  </si>
  <si>
    <t>Lomatia hirsuta</t>
  </si>
  <si>
    <t>Radal</t>
  </si>
  <si>
    <t>Lophosoria quadripinnata</t>
  </si>
  <si>
    <t>Luma apiculata</t>
  </si>
  <si>
    <t>Lupinus arboreus</t>
  </si>
  <si>
    <t>Chocho</t>
  </si>
  <si>
    <t>Lupinus microcarpus</t>
  </si>
  <si>
    <t>Lupino</t>
  </si>
  <si>
    <t>Luzuriaga radicans</t>
  </si>
  <si>
    <t>Quillineja</t>
  </si>
  <si>
    <t>Macfadyena unguis-cati</t>
  </si>
  <si>
    <t>Uña de gato</t>
  </si>
  <si>
    <t>Maclura pomifera</t>
  </si>
  <si>
    <t>Naranjo de Luisiana</t>
  </si>
  <si>
    <t>Magnolia grandiflora</t>
  </si>
  <si>
    <t>Magnolia x soulangeana</t>
  </si>
  <si>
    <t>Maihuenia poeppigii</t>
  </si>
  <si>
    <t>Maihueniopsis boliviana</t>
  </si>
  <si>
    <t>Puskayo</t>
  </si>
  <si>
    <t>Malesherbia angustisecta</t>
  </si>
  <si>
    <t>Malesherbia</t>
  </si>
  <si>
    <t>Malesherbia tocopillana</t>
  </si>
  <si>
    <t>Farolito</t>
  </si>
  <si>
    <t>Malus baccata</t>
  </si>
  <si>
    <t>Malus domestica</t>
  </si>
  <si>
    <t>Malus floribunda</t>
  </si>
  <si>
    <t>Malus sylvestris</t>
  </si>
  <si>
    <t>Manzano silvestre</t>
  </si>
  <si>
    <t>Malva sylvestris</t>
  </si>
  <si>
    <t>Malva</t>
  </si>
  <si>
    <t>Mandevilla laxa</t>
  </si>
  <si>
    <t>Jazmín chileno</t>
  </si>
  <si>
    <t>Mangifera indica</t>
  </si>
  <si>
    <t>Mango</t>
  </si>
  <si>
    <t>Margyricarpus pinnatus</t>
  </si>
  <si>
    <t>Sabinilla</t>
  </si>
  <si>
    <t>Marrubium vulgare</t>
  </si>
  <si>
    <t>Torongil cuyano</t>
  </si>
  <si>
    <t>Maytenus boaria</t>
  </si>
  <si>
    <t>Maytenus chubutensis</t>
  </si>
  <si>
    <t>Maytenus disticha</t>
  </si>
  <si>
    <t>Racoma</t>
  </si>
  <si>
    <t>Maytenus magellanica</t>
  </si>
  <si>
    <t>Leña dura</t>
  </si>
  <si>
    <t>Melaleuca alternifolia</t>
  </si>
  <si>
    <t>Melia azedarach</t>
  </si>
  <si>
    <t>Melissa officinalis</t>
  </si>
  <si>
    <t>Toronjil</t>
  </si>
  <si>
    <t>Linacillo</t>
  </si>
  <si>
    <t>Mentha pulegium</t>
  </si>
  <si>
    <t>Poleo</t>
  </si>
  <si>
    <t>Metarma lanosa</t>
  </si>
  <si>
    <t>Microsorum scolopendria</t>
  </si>
  <si>
    <t>Tunilla</t>
  </si>
  <si>
    <t>Mitraria coccinea</t>
  </si>
  <si>
    <t>Botellita</t>
  </si>
  <si>
    <t>Monttea chilensis</t>
  </si>
  <si>
    <t>Uvillo</t>
  </si>
  <si>
    <t>Morinda citrifolia</t>
  </si>
  <si>
    <t>Noni</t>
  </si>
  <si>
    <t>Morus nigra</t>
  </si>
  <si>
    <t>Morera</t>
  </si>
  <si>
    <t>Quilo</t>
  </si>
  <si>
    <t>Mulinum spinosum</t>
  </si>
  <si>
    <t>Hierba de la culebra</t>
  </si>
  <si>
    <t>Mulino</t>
  </si>
  <si>
    <t>Myoporum acuminatum</t>
  </si>
  <si>
    <t>Mioporo</t>
  </si>
  <si>
    <t>Myoporum laetum</t>
  </si>
  <si>
    <t>Myoschilos oblongum</t>
  </si>
  <si>
    <t>Chequen</t>
  </si>
  <si>
    <t>Myrceugenia chrysocarpa</t>
  </si>
  <si>
    <t>Luma blanca</t>
  </si>
  <si>
    <t>Myrceugenia correifolia</t>
  </si>
  <si>
    <t>Petrillo</t>
  </si>
  <si>
    <t>Myrceugenia exsucca</t>
  </si>
  <si>
    <t>Pitra</t>
  </si>
  <si>
    <t>Myrceugenia lanceolata</t>
  </si>
  <si>
    <t>Arrayancillo</t>
  </si>
  <si>
    <t>Myrceugenia leptospermoides</t>
  </si>
  <si>
    <t>Macolla</t>
  </si>
  <si>
    <t>Myrceugenia obtusa</t>
  </si>
  <si>
    <t>Raran</t>
  </si>
  <si>
    <t>Myrceugenia planipes</t>
  </si>
  <si>
    <t>Myrceugenia schulzei</t>
  </si>
  <si>
    <t>Myrcianthes coquimbensis</t>
  </si>
  <si>
    <t>Pacama</t>
  </si>
  <si>
    <t>Myrteola nummularia</t>
  </si>
  <si>
    <t>Daudapo</t>
  </si>
  <si>
    <t>Myrtus communis</t>
  </si>
  <si>
    <t>Mirto</t>
  </si>
  <si>
    <t>Nassella chilensis</t>
  </si>
  <si>
    <t>Neoporteria villosa</t>
  </si>
  <si>
    <t>Qisco peludo</t>
  </si>
  <si>
    <t>Macso</t>
  </si>
  <si>
    <t>Nerium oleander</t>
  </si>
  <si>
    <t>Nolana balsamiflua</t>
  </si>
  <si>
    <t>Nothofagus alessandrii</t>
  </si>
  <si>
    <t>Ruil</t>
  </si>
  <si>
    <t>Nothofagus alpina</t>
  </si>
  <si>
    <t>Nothofagus antarctica</t>
  </si>
  <si>
    <t>Ñirre</t>
  </si>
  <si>
    <t>Nothofagus betuloides</t>
  </si>
  <si>
    <t>Nothofagus dombeyi</t>
  </si>
  <si>
    <t>Nothofagus glauca</t>
  </si>
  <si>
    <t>Hualo</t>
  </si>
  <si>
    <t>Nothofagus macrocarpa</t>
  </si>
  <si>
    <t>Roble de Santiago</t>
  </si>
  <si>
    <t>Nothofagus nitida</t>
  </si>
  <si>
    <t>Nothofagus obliqua</t>
  </si>
  <si>
    <t>Roble</t>
  </si>
  <si>
    <t>Nothofagus pumilio</t>
  </si>
  <si>
    <t>Lenga</t>
  </si>
  <si>
    <t>Ochagavia carnea</t>
  </si>
  <si>
    <t>Ochagavia elegans</t>
  </si>
  <si>
    <t>Ajo dulce</t>
  </si>
  <si>
    <t>Ochagavia litoralis</t>
  </si>
  <si>
    <t>Cardoncillo de acantilados</t>
  </si>
  <si>
    <t>Olea europaea</t>
  </si>
  <si>
    <t>Olivo</t>
  </si>
  <si>
    <t>Orites myrtoidea</t>
  </si>
  <si>
    <t>Radal enano</t>
  </si>
  <si>
    <t>Otholobium glandulosum</t>
  </si>
  <si>
    <t>Culén</t>
  </si>
  <si>
    <t>Ovidia andina</t>
  </si>
  <si>
    <t>Traro voqui</t>
  </si>
  <si>
    <t>Ovidia pillopillo</t>
  </si>
  <si>
    <t>Oxalis gigantea</t>
  </si>
  <si>
    <t>Churqui</t>
  </si>
  <si>
    <t>Parafina</t>
  </si>
  <si>
    <t>Parastrephia teretiuscula</t>
  </si>
  <si>
    <t>Marancel</t>
  </si>
  <si>
    <t>Parkinsonia aculeata</t>
  </si>
  <si>
    <t>Parkinsonia</t>
  </si>
  <si>
    <t>Passiflora pinnatistipula</t>
  </si>
  <si>
    <t>Grandilla</t>
  </si>
  <si>
    <t>Paulownia imperialis</t>
  </si>
  <si>
    <t>Paulonia</t>
  </si>
  <si>
    <t>Paulownia tomentosa</t>
  </si>
  <si>
    <t>Peperomia berteroana</t>
  </si>
  <si>
    <t>Peperomia</t>
  </si>
  <si>
    <t>Peperomia refleta</t>
  </si>
  <si>
    <t>Cola de ratón</t>
  </si>
  <si>
    <t>Tola</t>
  </si>
  <si>
    <t>Pernettya mucronata</t>
  </si>
  <si>
    <t>Pernettya pumila</t>
  </si>
  <si>
    <t>Persea americana</t>
  </si>
  <si>
    <t>Palto</t>
  </si>
  <si>
    <t>Persea lingue</t>
  </si>
  <si>
    <t>Lingue</t>
  </si>
  <si>
    <t>Persea meyeniana</t>
  </si>
  <si>
    <t>Peumus boldus</t>
  </si>
  <si>
    <t>Boldo</t>
  </si>
  <si>
    <t>Phoenix canariensis</t>
  </si>
  <si>
    <t>Phoenix dactylifera</t>
  </si>
  <si>
    <t>Palmera datilera</t>
  </si>
  <si>
    <t>Phoenix reclinata</t>
  </si>
  <si>
    <t>Palmera</t>
  </si>
  <si>
    <t>Physalis peruviana</t>
  </si>
  <si>
    <t>Uchuva</t>
  </si>
  <si>
    <t>Phytolaca dioica</t>
  </si>
  <si>
    <t>Picea abies</t>
  </si>
  <si>
    <t>Picea glauca</t>
  </si>
  <si>
    <t>Picea sitchensis</t>
  </si>
  <si>
    <t>Pilgerodendron uviferum</t>
  </si>
  <si>
    <t>Pintoa</t>
  </si>
  <si>
    <t>Pinus canariensis</t>
  </si>
  <si>
    <t>Pinus cembroides</t>
  </si>
  <si>
    <t>Pinus contorta</t>
  </si>
  <si>
    <t>Pinus halepensis</t>
  </si>
  <si>
    <t>Pinus jeffreyi</t>
  </si>
  <si>
    <t>Pino de Jeffrey</t>
  </si>
  <si>
    <t>Pinus maximartinezii</t>
  </si>
  <si>
    <t>Maxipiñón</t>
  </si>
  <si>
    <t>Pinus monticola</t>
  </si>
  <si>
    <t>Pinus muricata</t>
  </si>
  <si>
    <t>Pino muricata</t>
  </si>
  <si>
    <t>Pinus nigra</t>
  </si>
  <si>
    <t>Pinus pinaster</t>
  </si>
  <si>
    <t>Pinus pinea</t>
  </si>
  <si>
    <t>Pinus ponderosa</t>
  </si>
  <si>
    <t>Pinus radiata</t>
  </si>
  <si>
    <t>Pinus sylvestris</t>
  </si>
  <si>
    <t>Pinus taeda</t>
  </si>
  <si>
    <t>Pitavia punctata</t>
  </si>
  <si>
    <t>Pitao</t>
  </si>
  <si>
    <t>Pittosporum crassifolium</t>
  </si>
  <si>
    <t>Karo</t>
  </si>
  <si>
    <t>Pittosporum tobira</t>
  </si>
  <si>
    <t>Azahar de la China</t>
  </si>
  <si>
    <t>Pittosporum undulatum</t>
  </si>
  <si>
    <t>Platanus occidentalis</t>
  </si>
  <si>
    <t>Platanus orientalis</t>
  </si>
  <si>
    <t>Platycerium bifurcatum</t>
  </si>
  <si>
    <t>Cuerno de alce</t>
  </si>
  <si>
    <t>Podanthus mitiqui</t>
  </si>
  <si>
    <t>Mitique</t>
  </si>
  <si>
    <t>Podocarpus nubigenus</t>
  </si>
  <si>
    <t>Podocarpus saligna</t>
  </si>
  <si>
    <t>Polygonum sanguinaria</t>
  </si>
  <si>
    <t>Polylepis tarapacana</t>
  </si>
  <si>
    <t>Polypodium feuillei</t>
  </si>
  <si>
    <t>Hierba del lagarto</t>
  </si>
  <si>
    <t>Polypodium lanceolatum</t>
  </si>
  <si>
    <t>Helecho</t>
  </si>
  <si>
    <t>Populus alba</t>
  </si>
  <si>
    <t>Populus deltoides</t>
  </si>
  <si>
    <t>Populus nigra</t>
  </si>
  <si>
    <t>Populus tremula</t>
  </si>
  <si>
    <t>Populus trichocarpa</t>
  </si>
  <si>
    <t>Populus x canadensis</t>
  </si>
  <si>
    <t>Porlieria chilensis</t>
  </si>
  <si>
    <t>Portulaca oleracea</t>
  </si>
  <si>
    <t>Verdolaga</t>
  </si>
  <si>
    <t>Pouteria lucuma</t>
  </si>
  <si>
    <t>Lúcumo</t>
  </si>
  <si>
    <t>Pouteria splendens</t>
  </si>
  <si>
    <t>Prosopis alba</t>
  </si>
  <si>
    <t>Prosopis chilensis</t>
  </si>
  <si>
    <t>Algarrobo</t>
  </si>
  <si>
    <t>Prosopis strombulifera</t>
  </si>
  <si>
    <t>Prosopis tamarugo</t>
  </si>
  <si>
    <t>Tamarugo</t>
  </si>
  <si>
    <t>Prumnopitys andina</t>
  </si>
  <si>
    <t>Lleuque</t>
  </si>
  <si>
    <t>Prunus amygdalus</t>
  </si>
  <si>
    <t>Almendro</t>
  </si>
  <si>
    <t>Prunus armeniaca</t>
  </si>
  <si>
    <t>Damasco</t>
  </si>
  <si>
    <t>Prunus avium</t>
  </si>
  <si>
    <t>Cerezo</t>
  </si>
  <si>
    <t>Prunus cerasifera</t>
  </si>
  <si>
    <t>Prunus cerasus</t>
  </si>
  <si>
    <t>Prunus domestica</t>
  </si>
  <si>
    <t>Ciruelo</t>
  </si>
  <si>
    <t>Prunus dulcis</t>
  </si>
  <si>
    <t>Prunus ilicifolia</t>
  </si>
  <si>
    <t>Prunus persica</t>
  </si>
  <si>
    <t>Prunus serrulata</t>
  </si>
  <si>
    <t>Cerezo japonés</t>
  </si>
  <si>
    <t>Pseudotsuga menziesii</t>
  </si>
  <si>
    <t>Psoralea glandulosa</t>
  </si>
  <si>
    <t>Pteris semiadnata</t>
  </si>
  <si>
    <t>Pesebre</t>
  </si>
  <si>
    <t>Punica granatum</t>
  </si>
  <si>
    <t>Granado de flor</t>
  </si>
  <si>
    <t>Puya berteroniana</t>
  </si>
  <si>
    <t>Chagual</t>
  </si>
  <si>
    <t>Puya boliviensis</t>
  </si>
  <si>
    <t>Puya chilensis</t>
  </si>
  <si>
    <t>Puya coerulea</t>
  </si>
  <si>
    <t>Chagualillo</t>
  </si>
  <si>
    <t xml:space="preserve">Puya coquimbensis </t>
  </si>
  <si>
    <t>Puya venusta</t>
  </si>
  <si>
    <t>Pyrus communis</t>
  </si>
  <si>
    <t>Peral común</t>
  </si>
  <si>
    <t>Quercus falcata</t>
  </si>
  <si>
    <t>Roble rojo del sur</t>
  </si>
  <si>
    <t>Quercus ilex</t>
  </si>
  <si>
    <t>Quercus macrocarpa</t>
  </si>
  <si>
    <t>Quercus nigra</t>
  </si>
  <si>
    <t>Quercus palustris</t>
  </si>
  <si>
    <t>Quercus polymorpha</t>
  </si>
  <si>
    <t>Quercus robur</t>
  </si>
  <si>
    <t>Quercus rubra</t>
  </si>
  <si>
    <t>Roble rojo del norte</t>
  </si>
  <si>
    <t>Quercus suber</t>
  </si>
  <si>
    <t>Alcornoque</t>
  </si>
  <si>
    <t>Quillaja saponaria</t>
  </si>
  <si>
    <t>Quillay</t>
  </si>
  <si>
    <t>Quinchamalium chilense</t>
  </si>
  <si>
    <t>Qinchamali</t>
  </si>
  <si>
    <t>Sauco del diablo</t>
  </si>
  <si>
    <t>Reichea coquimbensis</t>
  </si>
  <si>
    <t>Reichea</t>
  </si>
  <si>
    <t>Retanilla ephedra</t>
  </si>
  <si>
    <t>Retamilla</t>
  </si>
  <si>
    <t>Retanilla trinerva</t>
  </si>
  <si>
    <t>Tevo</t>
  </si>
  <si>
    <t>Rhamnus diffusus</t>
  </si>
  <si>
    <t>Arrayán negro</t>
  </si>
  <si>
    <t>Rhamnus lycioides</t>
  </si>
  <si>
    <t>Rhaphithamnus spinosus</t>
  </si>
  <si>
    <t>Rhaphithamnus venustus</t>
  </si>
  <si>
    <t>Juan bueno</t>
  </si>
  <si>
    <t>Ribes integrifolium</t>
  </si>
  <si>
    <t>Parrilla falsa</t>
  </si>
  <si>
    <t>Ribes magellanicum</t>
  </si>
  <si>
    <t>Zarzaparrilla</t>
  </si>
  <si>
    <t>Ribes trilobum</t>
  </si>
  <si>
    <t>Ricinus communis</t>
  </si>
  <si>
    <t>Ricino</t>
  </si>
  <si>
    <t>Robinia pseudoacacia</t>
  </si>
  <si>
    <t>Robinia</t>
  </si>
  <si>
    <t>Robinsonia gayana</t>
  </si>
  <si>
    <t>Resino hembra</t>
  </si>
  <si>
    <t>Rosa mosqueta</t>
  </si>
  <si>
    <t>Rosa moschata</t>
  </si>
  <si>
    <t>Rosmarinus officinalis</t>
  </si>
  <si>
    <t>Romero</t>
  </si>
  <si>
    <t>Rubus friticosus</t>
  </si>
  <si>
    <t>Mora</t>
  </si>
  <si>
    <t>Rubus geoides</t>
  </si>
  <si>
    <t>Miñe miñe</t>
  </si>
  <si>
    <t>Ruta graveolens</t>
  </si>
  <si>
    <t>Ruda</t>
  </si>
  <si>
    <t>Sabal palmetto</t>
  </si>
  <si>
    <t>Salix alba</t>
  </si>
  <si>
    <t>Salix babylonica</t>
  </si>
  <si>
    <t>Salix caprea</t>
  </si>
  <si>
    <t>Salix fragilis</t>
  </si>
  <si>
    <t>Mimbrera</t>
  </si>
  <si>
    <t>Salix humboldtiana</t>
  </si>
  <si>
    <t>Salix matsudana</t>
  </si>
  <si>
    <t>Salix viminalis</t>
  </si>
  <si>
    <t>Salpiglossis spinescens</t>
  </si>
  <si>
    <t>Salvia officinalis</t>
  </si>
  <si>
    <t>Salvia</t>
  </si>
  <si>
    <t>Salvia tubiflora</t>
  </si>
  <si>
    <t>Salvia roja</t>
  </si>
  <si>
    <t>Sambucus nigra</t>
  </si>
  <si>
    <t>Santalum fernandezianum</t>
  </si>
  <si>
    <t>Sapindus saponaria</t>
  </si>
  <si>
    <t>Saxegothaea conspicua</t>
  </si>
  <si>
    <t>Schinus latifolius</t>
  </si>
  <si>
    <t>Molle</t>
  </si>
  <si>
    <t>Schinus marchandii</t>
  </si>
  <si>
    <t>Laura</t>
  </si>
  <si>
    <t>Schinus molle</t>
  </si>
  <si>
    <t>Pimiento</t>
  </si>
  <si>
    <t>Schinus montanus</t>
  </si>
  <si>
    <t>Schinus pearcei</t>
  </si>
  <si>
    <t>Schinus polygamus</t>
  </si>
  <si>
    <t>Schinus terebinthifolius</t>
  </si>
  <si>
    <t>Schoenoplectus californicus</t>
  </si>
  <si>
    <t>Totora</t>
  </si>
  <si>
    <t>Scutellaria valdiviana</t>
  </si>
  <si>
    <t>Teresa</t>
  </si>
  <si>
    <t>Senecio eriophyton</t>
  </si>
  <si>
    <t>Chachacoma</t>
  </si>
  <si>
    <t>Senecio fistulosus</t>
  </si>
  <si>
    <t>Senecio nutans</t>
  </si>
  <si>
    <t>Senna birostris</t>
  </si>
  <si>
    <t xml:space="preserve">Senna coquimbensis </t>
  </si>
  <si>
    <t>Alcaparra</t>
  </si>
  <si>
    <t>Senna glandulosa</t>
  </si>
  <si>
    <t>Senna</t>
  </si>
  <si>
    <t>Senna stipulacea</t>
  </si>
  <si>
    <t>Sequoia sempervirens</t>
  </si>
  <si>
    <t>Sequoia</t>
  </si>
  <si>
    <t>Sequoiadendron giganteum</t>
  </si>
  <si>
    <t>Sequoia gigante</t>
  </si>
  <si>
    <t>Sideritis eriocephala</t>
  </si>
  <si>
    <t>Sideritis</t>
  </si>
  <si>
    <t>Simmondsia chinensis</t>
  </si>
  <si>
    <t>Jojoba</t>
  </si>
  <si>
    <t>Skytanthus acutus</t>
  </si>
  <si>
    <t>Cuerno de cabra</t>
  </si>
  <si>
    <t>Solanum capsicastrum</t>
  </si>
  <si>
    <t>Tomatito</t>
  </si>
  <si>
    <t>Solanum forsteri</t>
  </si>
  <si>
    <t>Poporo</t>
  </si>
  <si>
    <t>Solanum nigrum</t>
  </si>
  <si>
    <t>Hierba mora</t>
  </si>
  <si>
    <t>Solanum nitidum</t>
  </si>
  <si>
    <t>Solidago chilensis</t>
  </si>
  <si>
    <t>Pelú</t>
  </si>
  <si>
    <t>Sophora fernandeziana</t>
  </si>
  <si>
    <t>Sophora macrocarpa</t>
  </si>
  <si>
    <t>Sophora toromiro</t>
  </si>
  <si>
    <t>Toromiro</t>
  </si>
  <si>
    <t>Sorbus aria</t>
  </si>
  <si>
    <t>Mostajo común</t>
  </si>
  <si>
    <t>Sorbus aucuparia</t>
  </si>
  <si>
    <t>Coirón</t>
  </si>
  <si>
    <t>Stipa tenuissima</t>
  </si>
  <si>
    <t>Stipa</t>
  </si>
  <si>
    <t>Syagrus romanzoffiana</t>
  </si>
  <si>
    <t>Cocus plumosa</t>
  </si>
  <si>
    <t>Tamarindus indica</t>
  </si>
  <si>
    <t>Tamarindo</t>
  </si>
  <si>
    <t>Tamarix articulata</t>
  </si>
  <si>
    <t xml:space="preserve">Tamarix </t>
  </si>
  <si>
    <t>Tamarix gallica</t>
  </si>
  <si>
    <t>Tanacetum balsamita</t>
  </si>
  <si>
    <t>Menta coca</t>
  </si>
  <si>
    <t>Tanacetum vulgare</t>
  </si>
  <si>
    <t>Tanaceto</t>
  </si>
  <si>
    <t>Tarasa umbellata</t>
  </si>
  <si>
    <t>Abutiloncillo</t>
  </si>
  <si>
    <t>Taxodium distichum</t>
  </si>
  <si>
    <t>Ciprés calvo</t>
  </si>
  <si>
    <t>Taxus baccata</t>
  </si>
  <si>
    <t>Tejo</t>
  </si>
  <si>
    <t>Tecoma fulva</t>
  </si>
  <si>
    <t>Chuvé</t>
  </si>
  <si>
    <t>Tectona grandis</t>
  </si>
  <si>
    <t>Teca</t>
  </si>
  <si>
    <t>Tepualia stipularis</t>
  </si>
  <si>
    <t>Tessaria absinthioides</t>
  </si>
  <si>
    <t>Brea</t>
  </si>
  <si>
    <t>Thespesia populnea</t>
  </si>
  <si>
    <t>Thevetia peruviana</t>
  </si>
  <si>
    <t>Campanilla amarilla</t>
  </si>
  <si>
    <t>Thuja occidentalis</t>
  </si>
  <si>
    <t>Thuja orientalis</t>
  </si>
  <si>
    <t>Thuja plicata</t>
  </si>
  <si>
    <t>Thymus serpyllum</t>
  </si>
  <si>
    <t>Hierbaluna</t>
  </si>
  <si>
    <t>Tilia americana</t>
  </si>
  <si>
    <t>Tilia cordata</t>
  </si>
  <si>
    <t>Tillandsia geissei</t>
  </si>
  <si>
    <t>Tipuana tipu</t>
  </si>
  <si>
    <t>Tipuana</t>
  </si>
  <si>
    <t>Trachycarpus fortunei</t>
  </si>
  <si>
    <t>Tsuga heterofylla</t>
  </si>
  <si>
    <t>Ugni candollei</t>
  </si>
  <si>
    <t>Tautau</t>
  </si>
  <si>
    <t>Ugni molinae</t>
  </si>
  <si>
    <t>Murta</t>
  </si>
  <si>
    <t>Ulmus americana</t>
  </si>
  <si>
    <t>Olmo americano</t>
  </si>
  <si>
    <t>Ulmus glabra</t>
  </si>
  <si>
    <t>Olmo montano</t>
  </si>
  <si>
    <t>Valdivia gayana</t>
  </si>
  <si>
    <t>Valdivia</t>
  </si>
  <si>
    <t>Verbena gynobasis</t>
  </si>
  <si>
    <t>Verbena</t>
  </si>
  <si>
    <t>Viburnum tinus</t>
  </si>
  <si>
    <t>Durillo</t>
  </si>
  <si>
    <t>Vicia vielosa</t>
  </si>
  <si>
    <t>Washingtonia filifera</t>
  </si>
  <si>
    <t>Washingtonia robusta</t>
  </si>
  <si>
    <t>Weinmannia trichosperma</t>
  </si>
  <si>
    <t>Tineo</t>
  </si>
  <si>
    <t>Yunquea tenzii</t>
  </si>
  <si>
    <t>Yunquea</t>
  </si>
  <si>
    <t>N°</t>
  </si>
  <si>
    <t>PROVINCIA</t>
  </si>
  <si>
    <t>COMUNA</t>
  </si>
  <si>
    <t>Arica</t>
  </si>
  <si>
    <t>Región de Arica y Parinacota</t>
  </si>
  <si>
    <t>Parinacota</t>
  </si>
  <si>
    <t>Putre</t>
  </si>
  <si>
    <t>Tamarugal</t>
  </si>
  <si>
    <t>Pozo Almonte</t>
  </si>
  <si>
    <t>Región de Tarapacá</t>
  </si>
  <si>
    <t>El Loa</t>
  </si>
  <si>
    <t>Calama</t>
  </si>
  <si>
    <t>Región de Antofagasta</t>
  </si>
  <si>
    <t>Antofagasta</t>
  </si>
  <si>
    <t>Copiapó</t>
  </si>
  <si>
    <t>Región de Atacama</t>
  </si>
  <si>
    <t>Huasco</t>
  </si>
  <si>
    <t>Vallenar</t>
  </si>
  <si>
    <t>Choapa</t>
  </si>
  <si>
    <t>Illapel</t>
  </si>
  <si>
    <t>Región de Coquimbo</t>
  </si>
  <si>
    <t>Petorca</t>
  </si>
  <si>
    <t>La Ligua</t>
  </si>
  <si>
    <t>Región de Valparaíso</t>
  </si>
  <si>
    <t>Valparaíso</t>
  </si>
  <si>
    <t>San Antonio</t>
  </si>
  <si>
    <t>Santo Domingo</t>
  </si>
  <si>
    <t>San Felipe de Aconcagua</t>
  </si>
  <si>
    <t>Llay Llay</t>
  </si>
  <si>
    <t>Colchagua</t>
  </si>
  <si>
    <t>Santa Cruz</t>
  </si>
  <si>
    <t>Cauquenes</t>
  </si>
  <si>
    <t>Región del Maule</t>
  </si>
  <si>
    <t>Linares</t>
  </si>
  <si>
    <t>Talca</t>
  </si>
  <si>
    <t>Constitución</t>
  </si>
  <si>
    <t>Concepción</t>
  </si>
  <si>
    <t>Coronel</t>
  </si>
  <si>
    <t>Arauco</t>
  </si>
  <si>
    <t>Cañete</t>
  </si>
  <si>
    <t>BioBio</t>
  </si>
  <si>
    <t>Los Ángeles</t>
  </si>
  <si>
    <t>Santa Juana</t>
  </si>
  <si>
    <t>Chillán</t>
  </si>
  <si>
    <t>Malleco</t>
  </si>
  <si>
    <t>Curacautín</t>
  </si>
  <si>
    <t>Región de La Araucanía</t>
  </si>
  <si>
    <t>Cautín</t>
  </si>
  <si>
    <t>Nueva Imperial</t>
  </si>
  <si>
    <t>Capitán Prat</t>
  </si>
  <si>
    <t>Cochrane</t>
  </si>
  <si>
    <t>Aysén</t>
  </si>
  <si>
    <t>Cisnes</t>
  </si>
  <si>
    <t>General Carrera</t>
  </si>
  <si>
    <t>Coyhaique</t>
  </si>
  <si>
    <t>Última Esperanza</t>
  </si>
  <si>
    <t>Natales</t>
  </si>
  <si>
    <t>Región de Magallanes y de La Antártica Chilena</t>
  </si>
  <si>
    <t>Magallanes</t>
  </si>
  <si>
    <t>Punta Arenas</t>
  </si>
  <si>
    <t>Maipo</t>
  </si>
  <si>
    <t>Buin</t>
  </si>
  <si>
    <t>Cordillera</t>
  </si>
  <si>
    <t>Pirque</t>
  </si>
  <si>
    <t>Melipilla</t>
  </si>
  <si>
    <t>San Pedro</t>
  </si>
  <si>
    <t>Isla de Pascua</t>
  </si>
  <si>
    <t>Patrik</t>
  </si>
  <si>
    <t xml:space="preserve">TIPO DE REPRODUCCIÓN  </t>
  </si>
  <si>
    <t xml:space="preserve">TIPO DE CONTENEDOR </t>
  </si>
  <si>
    <t>Semilla</t>
  </si>
  <si>
    <t>Germoplasma</t>
  </si>
  <si>
    <t>Restauración</t>
  </si>
  <si>
    <t>Origen</t>
  </si>
  <si>
    <t>Exótico</t>
  </si>
  <si>
    <t>Nativo</t>
  </si>
  <si>
    <t>Acacia karroo</t>
  </si>
  <si>
    <t>Acer japonicum</t>
  </si>
  <si>
    <t>Acer negundo</t>
  </si>
  <si>
    <t>Acer palmatum</t>
  </si>
  <si>
    <t>Acer platanoides</t>
  </si>
  <si>
    <t>Acer pseudoplatanus</t>
  </si>
  <si>
    <t>Achillea millefolium</t>
  </si>
  <si>
    <t>Mata espinosa</t>
  </si>
  <si>
    <t>Adesmia balsamica</t>
  </si>
  <si>
    <t>Adesmia confusa</t>
  </si>
  <si>
    <t>Adesmia echinus</t>
  </si>
  <si>
    <t>Adesmia emarginata</t>
  </si>
  <si>
    <t>Adesmia resinosa</t>
  </si>
  <si>
    <t xml:space="preserve">Aesculus sativa </t>
  </si>
  <si>
    <t xml:space="preserve">Castaño </t>
  </si>
  <si>
    <t>Aloea vera</t>
  </si>
  <si>
    <t>Althaea rosea</t>
  </si>
  <si>
    <t>Ambrosia chamissonis</t>
  </si>
  <si>
    <t>Nativo Conservación</t>
  </si>
  <si>
    <t>Asteriscium vidalii</t>
  </si>
  <si>
    <t>Tiple</t>
  </si>
  <si>
    <t>Lilén</t>
  </si>
  <si>
    <t>Corcolín</t>
  </si>
  <si>
    <t>Baccharis boliviensis</t>
  </si>
  <si>
    <t>Baccharis elaeoides</t>
  </si>
  <si>
    <t>Zarcilla</t>
  </si>
  <si>
    <t>Carex amazon</t>
  </si>
  <si>
    <t>Carex bronze</t>
  </si>
  <si>
    <t>Cedro del Líbano</t>
  </si>
  <si>
    <t>Col de Juan Fernández</t>
  </si>
  <si>
    <t>Colecillo</t>
  </si>
  <si>
    <t>Dolichandra unguis-cati</t>
  </si>
  <si>
    <t>Dunalia spinosa</t>
  </si>
  <si>
    <t>Notro</t>
  </si>
  <si>
    <t>Lun</t>
  </si>
  <si>
    <t>Siete camisas</t>
  </si>
  <si>
    <t>Euryops pectinatus</t>
  </si>
  <si>
    <t>Margarita amarilla</t>
  </si>
  <si>
    <t>Naranjillo de Juan Fernández</t>
  </si>
  <si>
    <t>Paja brava</t>
  </si>
  <si>
    <t xml:space="preserve">Chilco </t>
  </si>
  <si>
    <t>Ginkgo</t>
  </si>
  <si>
    <t>Keule</t>
  </si>
  <si>
    <t>Haplorhus peruviana</t>
  </si>
  <si>
    <t>Hebe salicifolia</t>
  </si>
  <si>
    <t>Hypolepis poeppigii</t>
  </si>
  <si>
    <t>Nogal</t>
  </si>
  <si>
    <t xml:space="preserve">Juglans regia var. Chandler </t>
  </si>
  <si>
    <t>Bollén</t>
  </si>
  <si>
    <t>Lampranthus roseus</t>
  </si>
  <si>
    <t>Lamprantus rosa</t>
  </si>
  <si>
    <t>Leptocarpha rivularis</t>
  </si>
  <si>
    <t>Tulipero</t>
  </si>
  <si>
    <t>Lolium multiflorum</t>
  </si>
  <si>
    <t xml:space="preserve">Avellanillo </t>
  </si>
  <si>
    <t>Arrayán</t>
  </si>
  <si>
    <t>Magnolio</t>
  </si>
  <si>
    <t>Malesherbia auristipulata</t>
  </si>
  <si>
    <t>Maitén</t>
  </si>
  <si>
    <t>Menodora linoides</t>
  </si>
  <si>
    <t>Mentha piperita</t>
  </si>
  <si>
    <t>Menta piperita</t>
  </si>
  <si>
    <t>Mentha spicata</t>
  </si>
  <si>
    <t>Hierba buena</t>
  </si>
  <si>
    <t>Metharme lanata</t>
  </si>
  <si>
    <t>Mutisia acuminata</t>
  </si>
  <si>
    <t>Chinchircoma</t>
  </si>
  <si>
    <t>Myrceugenia colchaguensis</t>
  </si>
  <si>
    <t>Myrceugenia fernandeziana</t>
  </si>
  <si>
    <t>Myrceugenia pinifolia</t>
  </si>
  <si>
    <t>Myrceugenia rufa</t>
  </si>
  <si>
    <t>Nothofagus leonii</t>
  </si>
  <si>
    <t>Huala</t>
  </si>
  <si>
    <t>Oxyphyllum ulicinum</t>
  </si>
  <si>
    <t>Pícea común</t>
  </si>
  <si>
    <t>Ciprés de las Guaitecas</t>
  </si>
  <si>
    <t>Pintoa chilensis</t>
  </si>
  <si>
    <t>Pino canario</t>
  </si>
  <si>
    <t>Pino de Alepo</t>
  </si>
  <si>
    <t>Piperonia refleta L.</t>
  </si>
  <si>
    <t>Congona</t>
  </si>
  <si>
    <t>Álamo americano</t>
  </si>
  <si>
    <t>Guayacán</t>
  </si>
  <si>
    <t>Prosopis burkartii</t>
  </si>
  <si>
    <t>Durazno</t>
  </si>
  <si>
    <t>Puya</t>
  </si>
  <si>
    <t>Encino</t>
  </si>
  <si>
    <t>Roble de agua</t>
  </si>
  <si>
    <t>Pimentero brasileño</t>
  </si>
  <si>
    <t>Solanum crispum</t>
  </si>
  <si>
    <t>Natre</t>
  </si>
  <si>
    <t>Solanum pseudocapsicum</t>
  </si>
  <si>
    <t>Tepú</t>
  </si>
  <si>
    <t>Provincia</t>
  </si>
  <si>
    <t>Comuna</t>
  </si>
  <si>
    <t>Teléfono de Contacto</t>
  </si>
  <si>
    <t>Alhué</t>
  </si>
  <si>
    <t>Alto Biobío</t>
  </si>
  <si>
    <t>Alto del Carmen</t>
  </si>
  <si>
    <t>Alto Hospicio</t>
  </si>
  <si>
    <t>Ancud</t>
  </si>
  <si>
    <t>Andacollo</t>
  </si>
  <si>
    <t>Angol</t>
  </si>
  <si>
    <t>Antártica</t>
  </si>
  <si>
    <t>Antuco</t>
  </si>
  <si>
    <t>Bulnes</t>
  </si>
  <si>
    <t>Cabildo</t>
  </si>
  <si>
    <t>Cabo de Hornos</t>
  </si>
  <si>
    <t>Cabrero</t>
  </si>
  <si>
    <t>Calbuco</t>
  </si>
  <si>
    <t>Caldera</t>
  </si>
  <si>
    <t>Calera de Tango</t>
  </si>
  <si>
    <t>Calle Larga</t>
  </si>
  <si>
    <t>Camarones</t>
  </si>
  <si>
    <t>Camiña</t>
  </si>
  <si>
    <t>Canela</t>
  </si>
  <si>
    <t>Carahue</t>
  </si>
  <si>
    <t>Cartagena</t>
  </si>
  <si>
    <t>Casablanca</t>
  </si>
  <si>
    <t>Castro</t>
  </si>
  <si>
    <t>Catemu</t>
  </si>
  <si>
    <t>Cerrillos</t>
  </si>
  <si>
    <t>Cerro Navia</t>
  </si>
  <si>
    <t>Chaitén</t>
  </si>
  <si>
    <t>Chanco</t>
  </si>
  <si>
    <t>Chañaral</t>
  </si>
  <si>
    <t>Chépica</t>
  </si>
  <si>
    <t>Chiguayante</t>
  </si>
  <si>
    <t>Chile Chico</t>
  </si>
  <si>
    <t>Chillán Viejo</t>
  </si>
  <si>
    <t>Chimbarongo</t>
  </si>
  <si>
    <t>Cholchol</t>
  </si>
  <si>
    <t>Chonchi</t>
  </si>
  <si>
    <t>Cobquecura</t>
  </si>
  <si>
    <t>Cochamó</t>
  </si>
  <si>
    <t>Codegua</t>
  </si>
  <si>
    <t>Coelemu</t>
  </si>
  <si>
    <t>Coihueco</t>
  </si>
  <si>
    <t>Coinco</t>
  </si>
  <si>
    <t>Colbún</t>
  </si>
  <si>
    <t>Colchane</t>
  </si>
  <si>
    <t>Colina</t>
  </si>
  <si>
    <t>Collipulli</t>
  </si>
  <si>
    <t>Coltauco</t>
  </si>
  <si>
    <t>Combarbalá</t>
  </si>
  <si>
    <t>Conchalí</t>
  </si>
  <si>
    <t>Concón</t>
  </si>
  <si>
    <t>Contulmo</t>
  </si>
  <si>
    <t>Coquimbo</t>
  </si>
  <si>
    <t>Corral</t>
  </si>
  <si>
    <t>Cunco</t>
  </si>
  <si>
    <t>Curacaví</t>
  </si>
  <si>
    <t>Curaco de Vélez</t>
  </si>
  <si>
    <t>Curanilahue</t>
  </si>
  <si>
    <t>Curarrehue</t>
  </si>
  <si>
    <t>Curepto</t>
  </si>
  <si>
    <t>Curicó</t>
  </si>
  <si>
    <t>Dalcahue</t>
  </si>
  <si>
    <t>Diego de Almagro</t>
  </si>
  <si>
    <t>Doñihue</t>
  </si>
  <si>
    <t>El Bosque</t>
  </si>
  <si>
    <t>El Carmen</t>
  </si>
  <si>
    <t>El Monte</t>
  </si>
  <si>
    <t>El Quisco</t>
  </si>
  <si>
    <t>El Tabo</t>
  </si>
  <si>
    <t>Empedrado</t>
  </si>
  <si>
    <t>Ercilla</t>
  </si>
  <si>
    <t>Estación Central</t>
  </si>
  <si>
    <t>Florida</t>
  </si>
  <si>
    <t>Freire</t>
  </si>
  <si>
    <t>Freirina</t>
  </si>
  <si>
    <t>Fresia</t>
  </si>
  <si>
    <t>Frutillar</t>
  </si>
  <si>
    <t>Futaleufú</t>
  </si>
  <si>
    <t>Futrono</t>
  </si>
  <si>
    <t>Galvarino</t>
  </si>
  <si>
    <t>General Lagos</t>
  </si>
  <si>
    <t>Gorbea</t>
  </si>
  <si>
    <t>Graneros</t>
  </si>
  <si>
    <t>Guaitecas</t>
  </si>
  <si>
    <t>Hijuelas</t>
  </si>
  <si>
    <t>Hualaihué</t>
  </si>
  <si>
    <t>Hualañé</t>
  </si>
  <si>
    <t>Hualpén</t>
  </si>
  <si>
    <t>Hualqui</t>
  </si>
  <si>
    <t>Huara</t>
  </si>
  <si>
    <t>Huechuraba</t>
  </si>
  <si>
    <t>Independencia</t>
  </si>
  <si>
    <t>Iquique</t>
  </si>
  <si>
    <t>Isla de Maipo</t>
  </si>
  <si>
    <t>Juan Fernández</t>
  </si>
  <si>
    <t>La Cisterna</t>
  </si>
  <si>
    <t>La Cruz</t>
  </si>
  <si>
    <t>La Estrella</t>
  </si>
  <si>
    <t>La Florida</t>
  </si>
  <si>
    <t>La Granja</t>
  </si>
  <si>
    <t>La Higuera</t>
  </si>
  <si>
    <t>La Pintana</t>
  </si>
  <si>
    <t>La Reina</t>
  </si>
  <si>
    <t>La Serena</t>
  </si>
  <si>
    <t>La Unión</t>
  </si>
  <si>
    <t>Lago Ranco</t>
  </si>
  <si>
    <t>Lago Verde</t>
  </si>
  <si>
    <t>Laguna Blanca</t>
  </si>
  <si>
    <t>Laja</t>
  </si>
  <si>
    <t>Lampa</t>
  </si>
  <si>
    <t>Lanco</t>
  </si>
  <si>
    <t>Las Cabras</t>
  </si>
  <si>
    <t>Las Condes</t>
  </si>
  <si>
    <t>Lautaro</t>
  </si>
  <si>
    <t>Lebu</t>
  </si>
  <si>
    <t>Licantén</t>
  </si>
  <si>
    <t>Limache</t>
  </si>
  <si>
    <t>Litueche</t>
  </si>
  <si>
    <t>Llaillay</t>
  </si>
  <si>
    <t>Llanquihue</t>
  </si>
  <si>
    <t>Lo Barnechea</t>
  </si>
  <si>
    <t>Lo Espejo</t>
  </si>
  <si>
    <t>Lo Prado</t>
  </si>
  <si>
    <t>Lolol</t>
  </si>
  <si>
    <t>Loncoche</t>
  </si>
  <si>
    <t>Longaví</t>
  </si>
  <si>
    <t>Lonquimay</t>
  </si>
  <si>
    <t>Los Álamos</t>
  </si>
  <si>
    <t>Los Andes</t>
  </si>
  <si>
    <t>Los Lagos</t>
  </si>
  <si>
    <t>Los Muermos</t>
  </si>
  <si>
    <t>Los Sauces</t>
  </si>
  <si>
    <t>Los Vilos</t>
  </si>
  <si>
    <t>Lota</t>
  </si>
  <si>
    <t>Lumaco</t>
  </si>
  <si>
    <t>Machalí</t>
  </si>
  <si>
    <t>Macul</t>
  </si>
  <si>
    <t>Máfil</t>
  </si>
  <si>
    <t>Maipú</t>
  </si>
  <si>
    <t>Malloa</t>
  </si>
  <si>
    <t>Marchihue</t>
  </si>
  <si>
    <t>María Elena</t>
  </si>
  <si>
    <t>María Pinto</t>
  </si>
  <si>
    <t>Mariquina</t>
  </si>
  <si>
    <t>Maule</t>
  </si>
  <si>
    <t>Maullín</t>
  </si>
  <si>
    <t>Mejillones</t>
  </si>
  <si>
    <t>Melipeuco</t>
  </si>
  <si>
    <t>Molina</t>
  </si>
  <si>
    <t>Monte Patria</t>
  </si>
  <si>
    <t>Mostazal</t>
  </si>
  <si>
    <t>Mulchén</t>
  </si>
  <si>
    <t>Nacimiento</t>
  </si>
  <si>
    <t>Nancagua</t>
  </si>
  <si>
    <t>Navidad</t>
  </si>
  <si>
    <t>Negrete</t>
  </si>
  <si>
    <t>Ninhue</t>
  </si>
  <si>
    <t>Nogales</t>
  </si>
  <si>
    <t>Ñiquén</t>
  </si>
  <si>
    <t>Ñuñoa</t>
  </si>
  <si>
    <t>O'Higgins</t>
  </si>
  <si>
    <t>Olivar</t>
  </si>
  <si>
    <t>Ollagüe</t>
  </si>
  <si>
    <t>Olmué</t>
  </si>
  <si>
    <t>Osorno</t>
  </si>
  <si>
    <t>Ovalle</t>
  </si>
  <si>
    <t>Padre Hurtado</t>
  </si>
  <si>
    <t>Padre Las Casas</t>
  </si>
  <si>
    <t>Paillaco</t>
  </si>
  <si>
    <t>Paine</t>
  </si>
  <si>
    <t>Palena</t>
  </si>
  <si>
    <t>Panguipulli</t>
  </si>
  <si>
    <t>Panquehue</t>
  </si>
  <si>
    <t>Papudo</t>
  </si>
  <si>
    <t>Paredones</t>
  </si>
  <si>
    <t>Parral</t>
  </si>
  <si>
    <t>Pelarco</t>
  </si>
  <si>
    <t>Pelluhue</t>
  </si>
  <si>
    <t>Pemuco</t>
  </si>
  <si>
    <t>Pencahue</t>
  </si>
  <si>
    <t>Penco</t>
  </si>
  <si>
    <t>Peñaflor</t>
  </si>
  <si>
    <t>Peñalolén</t>
  </si>
  <si>
    <t>Perquenco</t>
  </si>
  <si>
    <t>Pica</t>
  </si>
  <si>
    <t>Pichidegua</t>
  </si>
  <si>
    <t>Pichilemu</t>
  </si>
  <si>
    <t>Pinto</t>
  </si>
  <si>
    <t>Pitrufquén</t>
  </si>
  <si>
    <t>Placilla</t>
  </si>
  <si>
    <t>Portezuelo</t>
  </si>
  <si>
    <t>Porvenir</t>
  </si>
  <si>
    <t>Primavera</t>
  </si>
  <si>
    <t>Providencia</t>
  </si>
  <si>
    <t>Puchuncaví</t>
  </si>
  <si>
    <t>Pucón</t>
  </si>
  <si>
    <t>Pudahuel</t>
  </si>
  <si>
    <t>Puente Alto</t>
  </si>
  <si>
    <t>Puerto Montt</t>
  </si>
  <si>
    <t>Puerto Octay</t>
  </si>
  <si>
    <t>Puerto Varas</t>
  </si>
  <si>
    <t>Pumanque</t>
  </si>
  <si>
    <t>Punitaqui</t>
  </si>
  <si>
    <t>Puqueldón</t>
  </si>
  <si>
    <t>Purén</t>
  </si>
  <si>
    <t>Purranque</t>
  </si>
  <si>
    <t>Putaendo</t>
  </si>
  <si>
    <t>Puyehue</t>
  </si>
  <si>
    <t>Queilén</t>
  </si>
  <si>
    <t>Quellón</t>
  </si>
  <si>
    <t>Quemchi</t>
  </si>
  <si>
    <t>Quilaco</t>
  </si>
  <si>
    <t>Quilicura</t>
  </si>
  <si>
    <t>Quilleco</t>
  </si>
  <si>
    <t>Quillón</t>
  </si>
  <si>
    <t>Quillota</t>
  </si>
  <si>
    <t>Quilpué</t>
  </si>
  <si>
    <t>Quinchao</t>
  </si>
  <si>
    <t>Quinta de Tilcoco</t>
  </si>
  <si>
    <t>Quinta Normal</t>
  </si>
  <si>
    <t>Quintero</t>
  </si>
  <si>
    <t>Quirihue</t>
  </si>
  <si>
    <t>Rancagua</t>
  </si>
  <si>
    <t>Ránquil</t>
  </si>
  <si>
    <t>Rauco</t>
  </si>
  <si>
    <t>Recoleta</t>
  </si>
  <si>
    <t>Renaico</t>
  </si>
  <si>
    <t>Renca</t>
  </si>
  <si>
    <t>Rengo</t>
  </si>
  <si>
    <t>Requínoa</t>
  </si>
  <si>
    <t>Retiro</t>
  </si>
  <si>
    <t>Rinconada</t>
  </si>
  <si>
    <t>Río Bueno</t>
  </si>
  <si>
    <t>Río Claro</t>
  </si>
  <si>
    <t>Río Hurtado</t>
  </si>
  <si>
    <t>Río Ibáñez</t>
  </si>
  <si>
    <t>Río Negro</t>
  </si>
  <si>
    <t>Río Verde</t>
  </si>
  <si>
    <t>Romeral</t>
  </si>
  <si>
    <t>Saavedra</t>
  </si>
  <si>
    <t>Sagrada Familia</t>
  </si>
  <si>
    <t>Salamanca</t>
  </si>
  <si>
    <t>San Bernardo</t>
  </si>
  <si>
    <t>San Carlos</t>
  </si>
  <si>
    <t>San Clemente</t>
  </si>
  <si>
    <t>San Esteban</t>
  </si>
  <si>
    <t>San Fabián</t>
  </si>
  <si>
    <t>San Felipe</t>
  </si>
  <si>
    <t>San Fernando</t>
  </si>
  <si>
    <t>San Gregorio</t>
  </si>
  <si>
    <t>San Ignacio</t>
  </si>
  <si>
    <t>San Javier</t>
  </si>
  <si>
    <t>San Joaquín</t>
  </si>
  <si>
    <t>San José de Maipo</t>
  </si>
  <si>
    <t>San Juan de la Costa</t>
  </si>
  <si>
    <t>San Miguel</t>
  </si>
  <si>
    <t>San Nicolás</t>
  </si>
  <si>
    <t>San Pablo</t>
  </si>
  <si>
    <t>San Pedro de Atacama</t>
  </si>
  <si>
    <t>San Rafael</t>
  </si>
  <si>
    <t>San Ramón</t>
  </si>
  <si>
    <t>San Rosendo</t>
  </si>
  <si>
    <t>San Vicente</t>
  </si>
  <si>
    <t>Santa Bárbara</t>
  </si>
  <si>
    <t>Santa María</t>
  </si>
  <si>
    <t>Santiago</t>
  </si>
  <si>
    <t>Sierra Gorda</t>
  </si>
  <si>
    <t>Talagante</t>
  </si>
  <si>
    <t>Talcahuano</t>
  </si>
  <si>
    <t>Taltal</t>
  </si>
  <si>
    <t>Temuco</t>
  </si>
  <si>
    <t>Teno</t>
  </si>
  <si>
    <t>Teodoro Schmidt</t>
  </si>
  <si>
    <t>Tierra Amarilla</t>
  </si>
  <si>
    <t>Timaukel</t>
  </si>
  <si>
    <t>Tirúa</t>
  </si>
  <si>
    <t>Tocopilla</t>
  </si>
  <si>
    <t>Toltén</t>
  </si>
  <si>
    <t>Tomé</t>
  </si>
  <si>
    <t>Torres del Paine</t>
  </si>
  <si>
    <t>Tortel</t>
  </si>
  <si>
    <t>Traiguén</t>
  </si>
  <si>
    <t>Treguaco</t>
  </si>
  <si>
    <t>Tucapel</t>
  </si>
  <si>
    <t>Vichuquén</t>
  </si>
  <si>
    <t>Victoria</t>
  </si>
  <si>
    <t>Vicuña</t>
  </si>
  <si>
    <t>Vilcún</t>
  </si>
  <si>
    <t>Villa Alegre</t>
  </si>
  <si>
    <t>Villa Alemana</t>
  </si>
  <si>
    <t>Villarrica</t>
  </si>
  <si>
    <t>Viña del Mar</t>
  </si>
  <si>
    <t>Vitacura</t>
  </si>
  <si>
    <t>Yerbas Buenas</t>
  </si>
  <si>
    <t>Yumbel</t>
  </si>
  <si>
    <t>Yungay</t>
  </si>
  <si>
    <t>Zapallar</t>
  </si>
  <si>
    <t>DESTINO DE PLANTAS</t>
  </si>
  <si>
    <t>Vegetativa</t>
  </si>
  <si>
    <t>Vivero Las Maitas</t>
  </si>
  <si>
    <t>Vivero Putre</t>
  </si>
  <si>
    <t>Vivero Alejandro Caipa</t>
  </si>
  <si>
    <t>Vivero Regional Antofagasta</t>
  </si>
  <si>
    <t>Vivero Copiapó</t>
  </si>
  <si>
    <t>Vivero Vallenar</t>
  </si>
  <si>
    <t>Vivero Illapel</t>
  </si>
  <si>
    <t>Vivero La Ligua</t>
  </si>
  <si>
    <t>Vivero Llay Llay</t>
  </si>
  <si>
    <t>Vivero Reserva Nacional Lago Peñuelas</t>
  </si>
  <si>
    <t>Vivero Chomedahue</t>
  </si>
  <si>
    <t>Centro de Acopio Pantanillo</t>
  </si>
  <si>
    <t>Base Brigada La Granja</t>
  </si>
  <si>
    <t>Centro de Acondicionamiento Duqueco</t>
  </si>
  <si>
    <t>Liceo Nueva Zelandia</t>
  </si>
  <si>
    <t>Vivero Curacautín</t>
  </si>
  <si>
    <t>Vivero Imperial</t>
  </si>
  <si>
    <t xml:space="preserve">Región de Los Ríos </t>
  </si>
  <si>
    <t>Ranco</t>
  </si>
  <si>
    <t>Chiloé</t>
  </si>
  <si>
    <t>Región de Los Lagos</t>
  </si>
  <si>
    <t>Centro de Acondicionamiento Cochrane</t>
  </si>
  <si>
    <t>Vivero El Mallín</t>
  </si>
  <si>
    <t>Vivero Las Lengas</t>
  </si>
  <si>
    <t>Vivero Dorotea</t>
  </si>
  <si>
    <t>Vivero Río de Los Ciervos</t>
  </si>
  <si>
    <t>Vivero Buin</t>
  </si>
  <si>
    <t>Vivero Reserva Nacional Río Clarillo</t>
  </si>
  <si>
    <t>Vivero San Pedro</t>
  </si>
  <si>
    <t>Vivero Centro de Semillas, Genética y Entomología</t>
  </si>
  <si>
    <t>Vivero Huillilemu</t>
  </si>
  <si>
    <t>Vivero Butalcura</t>
  </si>
  <si>
    <t>Acacia de costa</t>
  </si>
  <si>
    <t>Koa</t>
  </si>
  <si>
    <t>Aromo australiano</t>
  </si>
  <si>
    <t>Acalypha wilkesiana</t>
  </si>
  <si>
    <t>Castaño de las indias</t>
  </si>
  <si>
    <t>Agave americana</t>
  </si>
  <si>
    <t>Albizia amarilla</t>
  </si>
  <si>
    <t>Artemisia vulgaris</t>
  </si>
  <si>
    <t>Bauhinia forficata</t>
  </si>
  <si>
    <t>Begonia elatior</t>
  </si>
  <si>
    <t>Belloto del sur</t>
  </si>
  <si>
    <t>Belloto del norte</t>
  </si>
  <si>
    <t>Michay rojo</t>
  </si>
  <si>
    <t>Michay de raposo</t>
  </si>
  <si>
    <t>Michay de Nigeria</t>
  </si>
  <si>
    <t>Manzano de Juan Fernández</t>
  </si>
  <si>
    <t>Palma blanca</t>
  </si>
  <si>
    <t>Boj común</t>
  </si>
  <si>
    <t>Calliandra tweedii</t>
  </si>
  <si>
    <t>Casuarina colgante</t>
  </si>
  <si>
    <t>Cedro americano</t>
  </si>
  <si>
    <t>Cedro plateado</t>
  </si>
  <si>
    <t>Algarrobo europeo</t>
  </si>
  <si>
    <t>Árbol del amor</t>
  </si>
  <si>
    <t>Falso ciprés de Lawson</t>
  </si>
  <si>
    <t>Ciprés azul</t>
  </si>
  <si>
    <t>Palmera coco plumosa</t>
  </si>
  <si>
    <t>Malva de cordillera</t>
  </si>
  <si>
    <t>Higuerilla de raposo</t>
  </si>
  <si>
    <t>Criptomeria japonesa</t>
  </si>
  <si>
    <t>Ciprés de Arizona</t>
  </si>
  <si>
    <t>Ciprés llorón</t>
  </si>
  <si>
    <t>Ciprés de lusitania</t>
  </si>
  <si>
    <t>Ciprés común</t>
  </si>
  <si>
    <t>Ciprés del Himalaya</t>
  </si>
  <si>
    <t>Curcuma longa</t>
  </si>
  <si>
    <t xml:space="preserve">Cúrcuma </t>
  </si>
  <si>
    <t>Chaguar del jote</t>
  </si>
  <si>
    <t>Olivo de bohemia</t>
  </si>
  <si>
    <t>Pingo pingo</t>
  </si>
  <si>
    <t>Erigeron aurantiacus</t>
  </si>
  <si>
    <t>Vitadinia</t>
  </si>
  <si>
    <t>Eriobotrya japonica</t>
  </si>
  <si>
    <t>Eryngium paniculatum</t>
  </si>
  <si>
    <t>Eucalipto rojo</t>
  </si>
  <si>
    <t>Eucalipto de azúcar</t>
  </si>
  <si>
    <t>Eucalipto nitens</t>
  </si>
  <si>
    <t>Eucalipto coral</t>
  </si>
  <si>
    <t>Guindo santo</t>
  </si>
  <si>
    <t>Flor del lechero</t>
  </si>
  <si>
    <t>Chaura de laraquete</t>
  </si>
  <si>
    <t>Gazania nivea</t>
  </si>
  <si>
    <t>Gazania</t>
  </si>
  <si>
    <t>Coralito del norte</t>
  </si>
  <si>
    <t>Árbol del fuego</t>
  </si>
  <si>
    <t>Hibiscus tiliaceus</t>
  </si>
  <si>
    <t>Hibisco marítimo</t>
  </si>
  <si>
    <t xml:space="preserve">Bella hortensia </t>
  </si>
  <si>
    <t>Palma chilena</t>
  </si>
  <si>
    <t xml:space="preserve">Nogal chandler </t>
  </si>
  <si>
    <t>Lluvia de oro</t>
  </si>
  <si>
    <t>Lavandula dentata</t>
  </si>
  <si>
    <t>Luma del norte</t>
  </si>
  <si>
    <t>Calle-calle</t>
  </si>
  <si>
    <t>Palmera abanico</t>
  </si>
  <si>
    <t>Lupinus oreophilus</t>
  </si>
  <si>
    <t>Campo azul</t>
  </si>
  <si>
    <t>Lycium sandwicense</t>
  </si>
  <si>
    <t>Manzano silvestre japonés</t>
  </si>
  <si>
    <t>Árbol del paraíso</t>
  </si>
  <si>
    <t>Microsorum parksii</t>
  </si>
  <si>
    <t>Matua pua'a</t>
  </si>
  <si>
    <t>Musa x paradisiaca</t>
  </si>
  <si>
    <t>Plátano</t>
  </si>
  <si>
    <t>Arrayan de hoja roja</t>
  </si>
  <si>
    <t>Laurel de flor</t>
  </si>
  <si>
    <t>Raulí</t>
  </si>
  <si>
    <t>Pillo-pillo</t>
  </si>
  <si>
    <t>Lingue del norte</t>
  </si>
  <si>
    <t>Phornium tenax</t>
  </si>
  <si>
    <t>Pita verde</t>
  </si>
  <si>
    <t>Quisquito de Taltal</t>
  </si>
  <si>
    <t>Pino piñonero</t>
  </si>
  <si>
    <t>Pino contorta</t>
  </si>
  <si>
    <t>Pino salgareño</t>
  </si>
  <si>
    <t>Pino marítimo</t>
  </si>
  <si>
    <t>Pino ponderosa</t>
  </si>
  <si>
    <t>Pino insigne</t>
  </si>
  <si>
    <t>Pino silvestre</t>
  </si>
  <si>
    <t>Pino taeda</t>
  </si>
  <si>
    <t>Plátano occidental</t>
  </si>
  <si>
    <t>Plátano oriental</t>
  </si>
  <si>
    <t>Mañío de hojas punzantes</t>
  </si>
  <si>
    <t>Mañío de hojas largas</t>
  </si>
  <si>
    <t>Queñoa de altura</t>
  </si>
  <si>
    <t>Álamo blanco</t>
  </si>
  <si>
    <t>Álamo negro</t>
  </si>
  <si>
    <t>Lúcumo chileno</t>
  </si>
  <si>
    <t>Algarrobo blanco</t>
  </si>
  <si>
    <t>Cerezo silvestre</t>
  </si>
  <si>
    <t>Ciruelo de flor</t>
  </si>
  <si>
    <t>Pino oregón</t>
  </si>
  <si>
    <t>Pyrus pyrifolia</t>
  </si>
  <si>
    <t>Pera asiática</t>
  </si>
  <si>
    <t>Roble bur</t>
  </si>
  <si>
    <t>Roble de los pantanos</t>
  </si>
  <si>
    <t>Arrayán macho</t>
  </si>
  <si>
    <t>Palmera cana</t>
  </si>
  <si>
    <t>Sauce blanco</t>
  </si>
  <si>
    <t>Sauce llorón</t>
  </si>
  <si>
    <t>Sauce cabruno</t>
  </si>
  <si>
    <t>Sauce chileno</t>
  </si>
  <si>
    <t>Sauce tortuosa</t>
  </si>
  <si>
    <t>Mimbrera blanca</t>
  </si>
  <si>
    <t>Saúco negro</t>
  </si>
  <si>
    <t>Menta de árbol</t>
  </si>
  <si>
    <t>Mañio de hoja corta</t>
  </si>
  <si>
    <t>Serbal de los cazadores</t>
  </si>
  <si>
    <t>Corona de novia</t>
  </si>
  <si>
    <t>Palmera pindó</t>
  </si>
  <si>
    <t>Tanacetum parthenium</t>
  </si>
  <si>
    <t>Altamisa</t>
  </si>
  <si>
    <t>Tecoma stans</t>
  </si>
  <si>
    <t>Palmera excelsa</t>
  </si>
  <si>
    <t>Abrojo</t>
  </si>
  <si>
    <t>Viguiera pazensis</t>
  </si>
  <si>
    <t>Palmera de abanico mexicana</t>
  </si>
  <si>
    <t>Forma de la Colecta</t>
  </si>
  <si>
    <t>Cosecha manual directa</t>
  </si>
  <si>
    <t>Golpe o corte de ramas desde el suelo</t>
  </si>
  <si>
    <t>Tipo de Abastecimiento</t>
  </si>
  <si>
    <t>Compra</t>
  </si>
  <si>
    <t>Donación</t>
  </si>
  <si>
    <t>Traspaso interno de CONAF</t>
  </si>
  <si>
    <t>Escalamiento</t>
  </si>
  <si>
    <t>Sacudir o golpear las ramas para desprender los frutos o semillas</t>
  </si>
  <si>
    <t>Conservación</t>
  </si>
  <si>
    <t>Recolección desde el suelo</t>
  </si>
  <si>
    <t>Gramos</t>
  </si>
  <si>
    <t>Unidad de Medida</t>
  </si>
  <si>
    <t>Tipo material propagación</t>
  </si>
  <si>
    <t>Semillas</t>
  </si>
  <si>
    <t>Huso</t>
  </si>
  <si>
    <t>Tipo de siembra</t>
  </si>
  <si>
    <t>Instalación de carpa o malla bajo el árbol</t>
  </si>
  <si>
    <t>Raíz desnuda</t>
  </si>
  <si>
    <t>Tipo de Aplicación</t>
  </si>
  <si>
    <t>Acaricida</t>
  </si>
  <si>
    <t>Fungicida</t>
  </si>
  <si>
    <t>Insecticida</t>
  </si>
  <si>
    <t>Molusquicida</t>
  </si>
  <si>
    <t>Forma de Colecta</t>
  </si>
  <si>
    <t>Nombre científico</t>
  </si>
  <si>
    <t>Personal Centro de Semillas de Chillán</t>
  </si>
  <si>
    <t>Otros (especificar en observaciones)</t>
  </si>
  <si>
    <t>Responsable Colecta</t>
  </si>
  <si>
    <t>Personal Áreas Silvestre Protegidas</t>
  </si>
  <si>
    <t>Personal Plantaciones</t>
  </si>
  <si>
    <t>Personal de Bosque Nativo</t>
  </si>
  <si>
    <t>Personal de Viveros</t>
  </si>
  <si>
    <t>Personal Programa de Arborización</t>
  </si>
  <si>
    <t>Personal Externo (subcontratación)</t>
  </si>
  <si>
    <t>Personal Programa Empleo de Emergencia (PEE)</t>
  </si>
  <si>
    <t>Vivero Archipiélago Juan Fernández</t>
  </si>
  <si>
    <t>Otro (Especificar en observaciones)</t>
  </si>
  <si>
    <t>Selección y corte  de estacas o esquejes</t>
  </si>
  <si>
    <t>Cama caliente</t>
  </si>
  <si>
    <t>N° Total de Plantas Ingresadas a Inventario (un mes post repique)</t>
  </si>
  <si>
    <t>Nematicida</t>
  </si>
  <si>
    <t>No se aplica tratamiento (Explicar en observaciones)</t>
  </si>
  <si>
    <t>TIPO DE RIEGO</t>
  </si>
  <si>
    <t>Manual</t>
  </si>
  <si>
    <t>Mixto</t>
  </si>
  <si>
    <t>Coordenadas X</t>
  </si>
  <si>
    <t>Coordenadas Y</t>
  </si>
  <si>
    <t>Kilos</t>
  </si>
  <si>
    <t>Compra de semillas</t>
  </si>
  <si>
    <t>estacas</t>
  </si>
  <si>
    <t>Antecedentes Administrativos</t>
  </si>
  <si>
    <t>Unidades</t>
  </si>
  <si>
    <t>Secado</t>
  </si>
  <si>
    <t>Almacenaje</t>
  </si>
  <si>
    <t>Limpieza/selección</t>
  </si>
  <si>
    <t xml:space="preserve">Fecha del Repique </t>
  </si>
  <si>
    <t>Productos Fitosanitarios</t>
  </si>
  <si>
    <t>Vegetativo</t>
  </si>
  <si>
    <t>Arica  </t>
  </si>
  <si>
    <t>Iquique  </t>
  </si>
  <si>
    <t>Tocopilla  </t>
  </si>
  <si>
    <t>Copiapó  </t>
  </si>
  <si>
    <t>Chañaral  </t>
  </si>
  <si>
    <t>Elqui</t>
  </si>
  <si>
    <t>Paiguano</t>
  </si>
  <si>
    <t>Limari</t>
  </si>
  <si>
    <t>Valparaíso  </t>
  </si>
  <si>
    <t>Marga Marga</t>
  </si>
  <si>
    <t>Isla  de Pascua</t>
  </si>
  <si>
    <t>Isla de Pascua  </t>
  </si>
  <si>
    <t>Los Andes  </t>
  </si>
  <si>
    <t>Quillota  </t>
  </si>
  <si>
    <t>Calera</t>
  </si>
  <si>
    <t>San Antonio  </t>
  </si>
  <si>
    <t>San Felipe  </t>
  </si>
  <si>
    <t>Cachapoal</t>
  </si>
  <si>
    <t>Cardenal Caro</t>
  </si>
  <si>
    <t>Curico</t>
  </si>
  <si>
    <t>Linares  </t>
  </si>
  <si>
    <t>Concepción  </t>
  </si>
  <si>
    <t>San Pedro de la Paz</t>
  </si>
  <si>
    <t>Bío- Bío</t>
  </si>
  <si>
    <t>Diguillín</t>
  </si>
  <si>
    <t>Itata</t>
  </si>
  <si>
    <t>Punilla</t>
  </si>
  <si>
    <t>Valdivia  </t>
  </si>
  <si>
    <t>Chiloe</t>
  </si>
  <si>
    <t>Osorno  </t>
  </si>
  <si>
    <t>Coihaique</t>
  </si>
  <si>
    <t>Coihaique  </t>
  </si>
  <si>
    <t>Aisén</t>
  </si>
  <si>
    <t>Aisén  </t>
  </si>
  <si>
    <t>Capitan Prat</t>
  </si>
  <si>
    <t>Antártica Chilena</t>
  </si>
  <si>
    <t>Tierra del Fuego</t>
  </si>
  <si>
    <t>Ultima Esperanza</t>
  </si>
  <si>
    <t>Santiago  </t>
  </si>
  <si>
    <t>Pedro Aguirre Cerda</t>
  </si>
  <si>
    <t>Chacabuco</t>
  </si>
  <si>
    <t>Tiltil</t>
  </si>
  <si>
    <t>Talagante  </t>
  </si>
  <si>
    <t>Nº</t>
  </si>
  <si>
    <t xml:space="preserve">Provincia </t>
  </si>
  <si>
    <t xml:space="preserve">Región </t>
  </si>
  <si>
    <t xml:space="preserve"> Unidad Productiva </t>
  </si>
  <si>
    <t>Regiones</t>
  </si>
  <si>
    <t>Región del Libertador B. O'Higgins</t>
  </si>
  <si>
    <t>Región del Bíobío</t>
  </si>
  <si>
    <t>Región de Ñuble</t>
  </si>
  <si>
    <t>Región de Aysén del Gral. C. Ibáñez del Campo</t>
  </si>
  <si>
    <t>Región Metropolitana de Santiago</t>
  </si>
  <si>
    <t>Comunas</t>
  </si>
  <si>
    <t>Región_de_Arica_y_Parinacota</t>
  </si>
  <si>
    <t>Región_de_Tarapacá</t>
  </si>
  <si>
    <t>Región_de_Antofagasta</t>
  </si>
  <si>
    <t>Región_de_Atacama</t>
  </si>
  <si>
    <t>Región_de_Coquimbo</t>
  </si>
  <si>
    <t>Región_de_Valparaíso</t>
  </si>
  <si>
    <t>Región_del_Libertador_B_O'Higgins</t>
  </si>
  <si>
    <t>Región_del_Maule</t>
  </si>
  <si>
    <t>Región_del_Bíobío</t>
  </si>
  <si>
    <t>Región_de_Ñuble</t>
  </si>
  <si>
    <t>Región_de_La_Araucanía</t>
  </si>
  <si>
    <t xml:space="preserve">Región_de_Los_Ríos </t>
  </si>
  <si>
    <t>Región_de_Los_Lagos</t>
  </si>
  <si>
    <t>Región_de_Aysén_del_Gral_C_Ibáñez_del_Campo</t>
  </si>
  <si>
    <t>Región_de_Magallanes_y_de_La_Antártica_Chilena</t>
  </si>
  <si>
    <t>Región_Metropolitana_de_Santiago</t>
  </si>
  <si>
    <t>Secado semillas</t>
  </si>
  <si>
    <t>Al aire Libre</t>
  </si>
  <si>
    <t>En bodega calefaccionada</t>
  </si>
  <si>
    <t>Salas o bodegas</t>
  </si>
  <si>
    <t>Tratamientos pregerminativos</t>
  </si>
  <si>
    <t>No requiere tratamiento</t>
  </si>
  <si>
    <t>Sin tratamiento.</t>
  </si>
  <si>
    <t>Lixiviación Remojo en agua</t>
  </si>
  <si>
    <t>Escarificación física</t>
  </si>
  <si>
    <t>Escarificación mecánica</t>
  </si>
  <si>
    <t>Estratificación fría en arena húmeda</t>
  </si>
  <si>
    <t>Estratificación fría en tierra vegetal</t>
  </si>
  <si>
    <t>Abierto</t>
  </si>
  <si>
    <t>En laboratorio de semillas</t>
  </si>
  <si>
    <t xml:space="preserve">En sala de semillas (En el vivero) </t>
  </si>
  <si>
    <t>Análisis de las semillas</t>
  </si>
  <si>
    <t>En cámara de frio</t>
  </si>
  <si>
    <t>Sin análisis de semillas</t>
  </si>
  <si>
    <t>Frízer o refrigerador</t>
  </si>
  <si>
    <t>Pg</t>
  </si>
  <si>
    <t>Pv</t>
  </si>
  <si>
    <t>Ps</t>
  </si>
  <si>
    <t>Unidades medida</t>
  </si>
  <si>
    <t>kg</t>
  </si>
  <si>
    <t>n° semillas</t>
  </si>
  <si>
    <t>unidades</t>
  </si>
  <si>
    <t>esquejes</t>
  </si>
  <si>
    <t>N° de semillas</t>
  </si>
  <si>
    <t xml:space="preserve">Estacas </t>
  </si>
  <si>
    <t>Esquejes</t>
  </si>
  <si>
    <t>Plántulas Reg.natural</t>
  </si>
  <si>
    <t>Almacigueras</t>
  </si>
  <si>
    <t>Mecánica</t>
  </si>
  <si>
    <t>Desinfección semillas</t>
  </si>
  <si>
    <t>COLECTA DE SEMILLAS O MATERIAL DE PROPAGACIÓN</t>
  </si>
  <si>
    <t>Plantas</t>
  </si>
  <si>
    <t>Abeto blanco / Abeto común</t>
  </si>
  <si>
    <t xml:space="preserve">Abutilon striatum </t>
  </si>
  <si>
    <t>Abutilón</t>
  </si>
  <si>
    <t>Acacia caven / Vachellia caven</t>
  </si>
  <si>
    <t>Acacia de hoja de cuchillo</t>
  </si>
  <si>
    <t>Acacia horrida / Vachellia horrida</t>
  </si>
  <si>
    <t>Acacia espinosa</t>
  </si>
  <si>
    <t>Aromo de Sudáfrica</t>
  </si>
  <si>
    <t>Acacia koa</t>
  </si>
  <si>
    <t>Acacia macacranta</t>
  </si>
  <si>
    <t>Acacia nilotica / Acacia arabica</t>
  </si>
  <si>
    <t>Acacia arabiga / Goma arábica</t>
  </si>
  <si>
    <t>Zarzo rojo</t>
  </si>
  <si>
    <t>Zarzo</t>
  </si>
  <si>
    <t>Acacia saligna / Acacia cyanophylla</t>
  </si>
  <si>
    <t>Acacia Senegal</t>
  </si>
  <si>
    <t>Acacia tomentosa / Vachellia tomentosa</t>
  </si>
  <si>
    <t>Gundabluie</t>
  </si>
  <si>
    <t xml:space="preserve">Acalifa </t>
  </si>
  <si>
    <t>Arce japónico</t>
  </si>
  <si>
    <t>Arce negundo</t>
  </si>
  <si>
    <t>Arce palmeado japonés</t>
  </si>
  <si>
    <t>Arce de Noruega / Arce real</t>
  </si>
  <si>
    <t>Falso plátano</t>
  </si>
  <si>
    <t>Milenrama</t>
  </si>
  <si>
    <t>Paramela / Paramilla</t>
  </si>
  <si>
    <t>Paramela de Tiltil</t>
  </si>
  <si>
    <t>Palito negro / Helecho de palo negro</t>
  </si>
  <si>
    <t>Castaño de indias rojo</t>
  </si>
  <si>
    <t>Olivillo / Tique</t>
  </si>
  <si>
    <t>Agathea coelestis</t>
  </si>
  <si>
    <t>Margarita azul / Felicia / Agatea</t>
  </si>
  <si>
    <t>Pita / Agave amarillo</t>
  </si>
  <si>
    <t>Árbol de cielo / Ailanto</t>
  </si>
  <si>
    <t>Albizia falcataria</t>
  </si>
  <si>
    <t>Falcata</t>
  </si>
  <si>
    <t>Acacia de constantinopla / Albizia / Árbol de la seda</t>
  </si>
  <si>
    <t>Ébano / Albizia</t>
  </si>
  <si>
    <t>Aliso andino</t>
  </si>
  <si>
    <t>Aliso común</t>
  </si>
  <si>
    <t>Aloe vera</t>
  </si>
  <si>
    <t>Aloysia citrodora / Aloysia triphylla</t>
  </si>
  <si>
    <t>Cedrón / Hierba Luisa</t>
  </si>
  <si>
    <t>Ambrosia</t>
  </si>
  <si>
    <t>Barrón</t>
  </si>
  <si>
    <t>Pirco</t>
  </si>
  <si>
    <t>Rocío / Escarcha</t>
  </si>
  <si>
    <t>Araucaria Australiana</t>
  </si>
  <si>
    <t>Argyranthemum frutescens / Chrysanthemum frutescens</t>
  </si>
  <si>
    <t>Paquerette</t>
  </si>
  <si>
    <t>Artemisa / Hierba de San Juan</t>
  </si>
  <si>
    <t>Arvejilla de Paposo</t>
  </si>
  <si>
    <t>Atriplex coquimbana</t>
  </si>
  <si>
    <t>Atriplex cachiyuyo</t>
  </si>
  <si>
    <t>Sereno</t>
  </si>
  <si>
    <t>Ciprés de la Cordillera</t>
  </si>
  <si>
    <t>Austrolycopodium paniculatum / Lycopodium paniculatum</t>
  </si>
  <si>
    <t>Pimpinela / Palmita / Llanca</t>
  </si>
  <si>
    <t>Azara lanceolata / Azara serrata</t>
  </si>
  <si>
    <t>Aromo de castilla</t>
  </si>
  <si>
    <t>Chinchín</t>
  </si>
  <si>
    <t>Lilén / Maqui blanco</t>
  </si>
  <si>
    <t>Llareta / Yareta</t>
  </si>
  <si>
    <t>Vuatru</t>
  </si>
  <si>
    <t>Flor de San José</t>
  </si>
  <si>
    <t>Begonia</t>
  </si>
  <si>
    <t>Berberis microphylla / Berberis buxifolia</t>
  </si>
  <si>
    <t>Blechnum cycadifolium</t>
  </si>
  <si>
    <t>Quilquil</t>
  </si>
  <si>
    <t>Katalapi</t>
  </si>
  <si>
    <t>Pilpilvoqui</t>
  </si>
  <si>
    <t>Brachychiton acerifolius</t>
  </si>
  <si>
    <t>Brachichito</t>
  </si>
  <si>
    <t>Brachichito rosa</t>
  </si>
  <si>
    <t>Palmera de guadalupe</t>
  </si>
  <si>
    <t>Rumpaito</t>
  </si>
  <si>
    <t>Morera del papel</t>
  </si>
  <si>
    <t>Retama del cerro</t>
  </si>
  <si>
    <t>Palmera capitata</t>
  </si>
  <si>
    <t>Ngaoho</t>
  </si>
  <si>
    <t>Calistemo rojo</t>
  </si>
  <si>
    <t>Carica chilensis / Vasconcellea chilensis</t>
  </si>
  <si>
    <t>Papayo silvestre / Palo gordo</t>
  </si>
  <si>
    <t>Carpobrotus chilensis / Carpobrotus aequilaterus</t>
  </si>
  <si>
    <t>Carpobrotus edulis</t>
  </si>
  <si>
    <t>Castaño</t>
  </si>
  <si>
    <t>Cedro del Himalaya</t>
  </si>
  <si>
    <t>Almez</t>
  </si>
  <si>
    <t>Canchanlahue</t>
  </si>
  <si>
    <t>Chamaecyparis lawsoniana var Ellwoodii</t>
  </si>
  <si>
    <t>Chenopodium crusoeanum</t>
  </si>
  <si>
    <t>Chenopodium</t>
  </si>
  <si>
    <t>Chenopodio</t>
  </si>
  <si>
    <t>Chrysopogon zizanioides / Vetiveria zizanioides</t>
  </si>
  <si>
    <t>Hierba blanca</t>
  </si>
  <si>
    <t>Chusquea valdiviensis</t>
  </si>
  <si>
    <t>Voqui colorado</t>
  </si>
  <si>
    <t>Citronella mucronata / Villaresia micronata</t>
  </si>
  <si>
    <t>Clinopodium multiflorum / Satureja multiflora</t>
  </si>
  <si>
    <t xml:space="preserve">Copiapoa  </t>
  </si>
  <si>
    <t>Copiapoa de Carrizal</t>
  </si>
  <si>
    <t>Olivillo de Juan Fernández</t>
  </si>
  <si>
    <t>Dracena indivisa</t>
  </si>
  <si>
    <t>Cotoneaster horizontal</t>
  </si>
  <si>
    <t>Cotoneaster hoja de sauce</t>
  </si>
  <si>
    <t>Crataegus blanco</t>
  </si>
  <si>
    <t>Croposma oliveri</t>
  </si>
  <si>
    <t>Croposma pyrifolia</t>
  </si>
  <si>
    <t>Cuminia eriantha / Cuminia fernandezia</t>
  </si>
  <si>
    <t>Ciprés de Monterrey</t>
  </si>
  <si>
    <t>Cytisus proliferus / Chamaecytisus proliferus</t>
  </si>
  <si>
    <t>Árbol de Lucerna</t>
  </si>
  <si>
    <t>Palo santo</t>
  </si>
  <si>
    <t>Dennstaedtia</t>
  </si>
  <si>
    <t>Dicksonia</t>
  </si>
  <si>
    <t>Chacaye</t>
  </si>
  <si>
    <t>Chacay</t>
  </si>
  <si>
    <t>Donacia</t>
  </si>
  <si>
    <t>Drimys andina</t>
  </si>
  <si>
    <t>Canelo enano</t>
  </si>
  <si>
    <t>Chañar silvestre</t>
  </si>
  <si>
    <t>Dypsis lutescens</t>
  </si>
  <si>
    <t>Palmera bambú</t>
  </si>
  <si>
    <t>Dysphania ambrosioides / Chenopodium ambrosioides</t>
  </si>
  <si>
    <t>Pasakana</t>
  </si>
  <si>
    <t>Echinopsis atacamensis / Trichocereus atacamensis</t>
  </si>
  <si>
    <t>Echinopsis chiloensis / Trichocereus chiloensis</t>
  </si>
  <si>
    <t>Yerba de la plata</t>
  </si>
  <si>
    <t>Yerba del platero</t>
  </si>
  <si>
    <t xml:space="preserve">Erigeron </t>
  </si>
  <si>
    <t>Napín</t>
  </si>
  <si>
    <t>Sandillón de los ratones</t>
  </si>
  <si>
    <t>Pomponero</t>
  </si>
  <si>
    <t>Escalonia</t>
  </si>
  <si>
    <t>Luncalun</t>
  </si>
  <si>
    <t>Escallonia rosea</t>
  </si>
  <si>
    <t>Manta negra</t>
  </si>
  <si>
    <t>Escalonia callcottiae</t>
  </si>
  <si>
    <t>Eucalipto de gunn</t>
  </si>
  <si>
    <t>Eulychnia castanea</t>
  </si>
  <si>
    <t>Lechero rojo</t>
  </si>
  <si>
    <t>albizia moluqueña</t>
  </si>
  <si>
    <t>cañuela común</t>
  </si>
  <si>
    <t>Orno</t>
  </si>
  <si>
    <t>Gaultheria poeppigii</t>
  </si>
  <si>
    <t>Olaguina</t>
  </si>
  <si>
    <t>Yerba del clavo</t>
  </si>
  <si>
    <t>Viravira</t>
  </si>
  <si>
    <t>Grammitis patagonica</t>
  </si>
  <si>
    <t>Greigia landbeckii</t>
  </si>
  <si>
    <t>Ñocha</t>
  </si>
  <si>
    <t>Inga feuillei</t>
  </si>
  <si>
    <t>Pacay</t>
  </si>
  <si>
    <t>Juncus capillaceus</t>
  </si>
  <si>
    <t>Juncos</t>
  </si>
  <si>
    <t>Jabonero de la china</t>
  </si>
  <si>
    <t>Falsa pimienta</t>
  </si>
  <si>
    <t>Árbol de júpiter</t>
  </si>
  <si>
    <t>Larix griffithii / Pinus griffithii</t>
  </si>
  <si>
    <t>Alerce del Himalaya</t>
  </si>
  <si>
    <t>Laurel de comer</t>
  </si>
  <si>
    <t>Lepidothamnus fonkii</t>
  </si>
  <si>
    <t>Lyme marina</t>
  </si>
  <si>
    <t>Luma chequen / Myrceugenella chequen</t>
  </si>
  <si>
    <t>Licium / pua nako nako</t>
  </si>
  <si>
    <t>Lycopodium magellanicum</t>
  </si>
  <si>
    <t>Pimpinela</t>
  </si>
  <si>
    <t>Macadamia integrifolia</t>
  </si>
  <si>
    <t>Nuez australiana</t>
  </si>
  <si>
    <t>Magnolia de Soulange</t>
  </si>
  <si>
    <t>Maihuén</t>
  </si>
  <si>
    <t>Ají de zorra</t>
  </si>
  <si>
    <t>Manzano silvestre de siberia</t>
  </si>
  <si>
    <t>Maitén de Chubut</t>
  </si>
  <si>
    <t>Arbol del té</t>
  </si>
  <si>
    <t>Tía pito</t>
  </si>
  <si>
    <t>Miqueliopuntia miquelii / Austrocylindropuntia miquelii</t>
  </si>
  <si>
    <t>Morella pavonis / Myrica pavonis</t>
  </si>
  <si>
    <t>Muehlenbeckia hastulata</t>
  </si>
  <si>
    <t>Orcoipo</t>
  </si>
  <si>
    <t>Arrayan de colchagua</t>
  </si>
  <si>
    <t>Luma de Masatierra</t>
  </si>
  <si>
    <t>Chequén de hoja fina</t>
  </si>
  <si>
    <t>Luma de Masafuera</t>
  </si>
  <si>
    <t>Mirciantes</t>
  </si>
  <si>
    <t>Neowerdermannia chilensis</t>
  </si>
  <si>
    <t>Nicotiana cordifolia</t>
  </si>
  <si>
    <t>Nicotiana</t>
  </si>
  <si>
    <t>Coihue de magallanes</t>
  </si>
  <si>
    <t>Coihue</t>
  </si>
  <si>
    <t>Coihue de chiloé</t>
  </si>
  <si>
    <t>Nothomyrcia fernandeziana</t>
  </si>
  <si>
    <t>Cardoncillo</t>
  </si>
  <si>
    <t>Chacha</t>
  </si>
  <si>
    <t xml:space="preserve">Passiflora mollisima </t>
  </si>
  <si>
    <t>Fruto de la pasión</t>
  </si>
  <si>
    <t>Congonilla</t>
  </si>
  <si>
    <t>Perezia atacamensis</t>
  </si>
  <si>
    <t>Palma canaria</t>
  </si>
  <si>
    <t>Ombu</t>
  </si>
  <si>
    <t>Pícea de Stika</t>
  </si>
  <si>
    <t>Pino blanco occidental</t>
  </si>
  <si>
    <t>Pittosporum tenuifolium / Pittosporum nigricans</t>
  </si>
  <si>
    <t>Alamo temblón</t>
  </si>
  <si>
    <t>Álamo balsámico de california</t>
  </si>
  <si>
    <t>Alamo negro de canadá</t>
  </si>
  <si>
    <t>Mastuerzo</t>
  </si>
  <si>
    <t>Cerezo Catalina</t>
  </si>
  <si>
    <t>Psidium guajava</t>
  </si>
  <si>
    <t>Guayabo</t>
  </si>
  <si>
    <t>Pteris chilensis</t>
  </si>
  <si>
    <t>Chagual de paposo</t>
  </si>
  <si>
    <t>Chagual de coquimbo</t>
  </si>
  <si>
    <t>Pyrrhocactus taltalensis</t>
  </si>
  <si>
    <t>Roble blanco</t>
  </si>
  <si>
    <t>Raukaua laetevirens / Pseudopanax laetevirens</t>
  </si>
  <si>
    <t>Parrilla</t>
  </si>
  <si>
    <t>Rosa eglanteria</t>
  </si>
  <si>
    <t>Roystonea regia</t>
  </si>
  <si>
    <t>Palma real</t>
  </si>
  <si>
    <t>Yerba del Lagarto</t>
  </si>
  <si>
    <t>Rumohra berteroana</t>
  </si>
  <si>
    <t>Rumohra</t>
  </si>
  <si>
    <t>Palito amargo</t>
  </si>
  <si>
    <t>Sándalo de Juan Fernández</t>
  </si>
  <si>
    <t>Marikuru</t>
  </si>
  <si>
    <t>Muchi</t>
  </si>
  <si>
    <t>Huingán</t>
  </si>
  <si>
    <t>Selkirkia berteroi</t>
  </si>
  <si>
    <t>Selkirkia</t>
  </si>
  <si>
    <t>Hualtata</t>
  </si>
  <si>
    <t>Tola hembra</t>
  </si>
  <si>
    <t>Senna candolleana / Cassia closiana</t>
  </si>
  <si>
    <t>Senna cumingii / Cassia coquimbensis</t>
  </si>
  <si>
    <t>Senna multiglandulosa / Cassia tomentosa</t>
  </si>
  <si>
    <t>Alcaparro enano</t>
  </si>
  <si>
    <t>Quebracho Blanco</t>
  </si>
  <si>
    <t>Solanum crispum / Solanum ligustrinum</t>
  </si>
  <si>
    <t>Ñuñumaya</t>
  </si>
  <si>
    <t>Cerezo de Jerusalén</t>
  </si>
  <si>
    <t>Huellén / Fulel</t>
  </si>
  <si>
    <t>Mayo</t>
  </si>
  <si>
    <t>Sophora microphylla / Sophora cassioides</t>
  </si>
  <si>
    <t>Sterculia coccinea</t>
  </si>
  <si>
    <t>Castaño tropical</t>
  </si>
  <si>
    <t>Styphnolobium japonicum / Sophora japonica</t>
  </si>
  <si>
    <t>Acacia de Japón / Sófora</t>
  </si>
  <si>
    <t>Taray</t>
  </si>
  <si>
    <t>Bignonia amarilla / Trompeta amarilla</t>
  </si>
  <si>
    <t>Milo</t>
  </si>
  <si>
    <t>Tuja del Canadá</t>
  </si>
  <si>
    <t>Tuja oriental</t>
  </si>
  <si>
    <t>Tuja gigante</t>
  </si>
  <si>
    <t>Thypha angustifolia</t>
  </si>
  <si>
    <t>Tilo americano</t>
  </si>
  <si>
    <t>Tilo hoja pequeña</t>
  </si>
  <si>
    <t>Clavel del aire de paposo</t>
  </si>
  <si>
    <t>Triumfetta semitriloba</t>
  </si>
  <si>
    <t>Sorona</t>
  </si>
  <si>
    <t>Wahlenbergia berteroi</t>
  </si>
  <si>
    <t>Wahlenbergia</t>
  </si>
  <si>
    <t>Encargado (a) del Vivero</t>
  </si>
  <si>
    <t>Aspersión</t>
  </si>
  <si>
    <t>Causas de pérdidas de plantúlas</t>
  </si>
  <si>
    <t>Ataques de gusanos cortadores</t>
  </si>
  <si>
    <t>Larvas de insectos</t>
  </si>
  <si>
    <t>Pájaros</t>
  </si>
  <si>
    <t>Roedores</t>
  </si>
  <si>
    <t>Bacterias</t>
  </si>
  <si>
    <t>Hongos del suelo (dumping off)</t>
  </si>
  <si>
    <t>Falta de riego</t>
  </si>
  <si>
    <t>Exceso de riego</t>
  </si>
  <si>
    <t>Hongos del Follaje (Botritis)</t>
  </si>
  <si>
    <t>Calidad de la semilla</t>
  </si>
  <si>
    <t>OBSERVACIONES GENERALES DEL PROCESO DE PRODUCCIÓN</t>
  </si>
  <si>
    <t>Gestión propia</t>
  </si>
  <si>
    <t>Áreas Silvestres Protegidas</t>
  </si>
  <si>
    <t>Bosque Nativo</t>
  </si>
  <si>
    <t>Compensación R. N. Pampa del Tamarugal</t>
  </si>
  <si>
    <t>Difusión</t>
  </si>
  <si>
    <t>Especies con fines melíferos</t>
  </si>
  <si>
    <t>Forestación Campesina</t>
  </si>
  <si>
    <t>Forestación Participativa</t>
  </si>
  <si>
    <t>Plantaciones Forestales</t>
  </si>
  <si>
    <t xml:space="preserve">Plantas Gobierno Regional Aysén </t>
  </si>
  <si>
    <t>Programa Castor</t>
  </si>
  <si>
    <t>Programa de Arborización</t>
  </si>
  <si>
    <t>Programa Manejo Sustentable de la Tierra (PMST)</t>
  </si>
  <si>
    <t>Proyecto Conservación Raulí</t>
  </si>
  <si>
    <t>Proyecto Plantas Medicinales</t>
  </si>
  <si>
    <t>Proyectos de Investigación</t>
  </si>
  <si>
    <t>Reforestación P. N. Torres del Paine</t>
  </si>
  <si>
    <t>Ventas</t>
  </si>
  <si>
    <t>Otro (especificar en observaciones)</t>
  </si>
  <si>
    <t>Vivero Augusto Falcón</t>
  </si>
  <si>
    <t>Chile chico</t>
  </si>
  <si>
    <t>Objetivo Plantas</t>
  </si>
  <si>
    <r>
      <t xml:space="preserve">Producción Estimada
(N° total de plantas)
</t>
    </r>
    <r>
      <rPr>
        <b/>
        <sz val="10"/>
        <color rgb="FFFF0000"/>
        <rFont val="Calibri"/>
        <family val="2"/>
        <scheme val="minor"/>
      </rPr>
      <t>(Np)</t>
    </r>
  </si>
  <si>
    <t>Dosis
(gr/L- cc/L)</t>
  </si>
  <si>
    <t>Nº Plántulas  Emergidas
(Control 2)</t>
  </si>
  <si>
    <t>Nº Total Plantúlas  Emergidas
(Control 3)</t>
  </si>
  <si>
    <t>Porcentaje Germinación
(Pg )</t>
  </si>
  <si>
    <t>Porcentaje No Germinación
(%)</t>
  </si>
  <si>
    <t>Factor de Viverización
(Ps)</t>
  </si>
  <si>
    <t>Fondo Verde del Clima</t>
  </si>
  <si>
    <t>Programa de Reactivación Económica Forestal</t>
  </si>
  <si>
    <t>Cantidad
(Semillas / Material Vegetativo)</t>
  </si>
  <si>
    <t xml:space="preserve">Unidad de Medida </t>
  </si>
  <si>
    <t>En cámara de frío</t>
  </si>
  <si>
    <t>Compost</t>
  </si>
  <si>
    <r>
      <t xml:space="preserve">Nº semillas / kg (según especie)
</t>
    </r>
    <r>
      <rPr>
        <b/>
        <sz val="10"/>
        <color rgb="FFFF0000"/>
        <rFont val="Calibri"/>
        <family val="2"/>
        <scheme val="minor"/>
      </rPr>
      <t>(Ns)</t>
    </r>
  </si>
  <si>
    <t>Capta + Polyben</t>
  </si>
  <si>
    <t>2 y 1,5</t>
  </si>
  <si>
    <t>Cámara de secado</t>
  </si>
  <si>
    <t>Remojo en Ácido giberelico</t>
  </si>
  <si>
    <t>Almacenamiento en cámara de Frío</t>
  </si>
  <si>
    <t>Ambiente frío-húmedo</t>
  </si>
  <si>
    <t>Otros equipos</t>
  </si>
  <si>
    <t>Cálido con control de humedad</t>
  </si>
  <si>
    <t>Almácigo</t>
  </si>
  <si>
    <t>Microaspersión</t>
  </si>
  <si>
    <t>Almácigo o semillero</t>
  </si>
  <si>
    <t>Nemátodos</t>
  </si>
  <si>
    <t>Programas de Destino</t>
  </si>
  <si>
    <t>Comuna de Colecta</t>
  </si>
  <si>
    <t>Lugar de Colecta (Localidad)</t>
  </si>
  <si>
    <t xml:space="preserve">Fecha de Colecta </t>
  </si>
  <si>
    <t>Tratamientos Pregerminativos</t>
  </si>
  <si>
    <t>Limpieza / Selección</t>
  </si>
  <si>
    <t>Análisis de Muestras  de Semillas</t>
  </si>
  <si>
    <r>
      <t xml:space="preserve">Cantidad (Semillas Sembrar / M.V. a Instalar)
</t>
    </r>
    <r>
      <rPr>
        <b/>
        <sz val="10"/>
        <color rgb="FFFF0000"/>
        <rFont val="Calibri"/>
        <family val="2"/>
        <scheme val="minor"/>
      </rPr>
      <t>S (kg)</t>
    </r>
  </si>
  <si>
    <t>Fecha Siembra</t>
  </si>
  <si>
    <t>Tipo de Siembra</t>
  </si>
  <si>
    <t>Tipo Sustrato (siembra)</t>
  </si>
  <si>
    <t>N° de Aplicaciones</t>
  </si>
  <si>
    <t>Frecuencia Semanal</t>
  </si>
  <si>
    <t>Tipo de Riego</t>
  </si>
  <si>
    <t>Nº Semillas Sembradas
(parcela  ensayo)</t>
  </si>
  <si>
    <t xml:space="preserve">Fecha Evaluación Emergencia
(Control 2) </t>
  </si>
  <si>
    <t>Causas del Porcentaje de  no Germinación, Muertes y/o Pérdidas</t>
  </si>
  <si>
    <t>Fecha Término Evaluación Emergencia
(Control 3)</t>
  </si>
  <si>
    <t>Fecha  Inicio Germinación
 (Control 1)</t>
  </si>
  <si>
    <t>Nº Plantas Repicadas</t>
  </si>
  <si>
    <t>Hábito</t>
  </si>
  <si>
    <t>Arbustivo</t>
  </si>
  <si>
    <t>Arbóreo</t>
  </si>
  <si>
    <t>Abutilon sp.</t>
  </si>
  <si>
    <t>Acacia sp.</t>
  </si>
  <si>
    <t>Acer sp.</t>
  </si>
  <si>
    <t>Acer</t>
  </si>
  <si>
    <t>Agapanthus sp.</t>
  </si>
  <si>
    <t>Agapanto</t>
  </si>
  <si>
    <t>Suculenta</t>
  </si>
  <si>
    <t>Agavoideae sp.</t>
  </si>
  <si>
    <t>Ágave</t>
  </si>
  <si>
    <t>Albizia sp.</t>
  </si>
  <si>
    <t xml:space="preserve">Albizia </t>
  </si>
  <si>
    <t>Alnus sp.</t>
  </si>
  <si>
    <t>Aliso</t>
  </si>
  <si>
    <t>Araucaria sp.</t>
  </si>
  <si>
    <t>Argyranthemum sp.</t>
  </si>
  <si>
    <t>Atriplex atacamensis</t>
  </si>
  <si>
    <t>Atriplex sp.</t>
  </si>
  <si>
    <t>Atriplex</t>
  </si>
  <si>
    <t>Baccharis santelicis</t>
  </si>
  <si>
    <t>Ñaca</t>
  </si>
  <si>
    <t>Berberis sp.</t>
  </si>
  <si>
    <t>berberis</t>
  </si>
  <si>
    <t>Esp.ina en cruz</t>
  </si>
  <si>
    <t>Brachychiton sp.</t>
  </si>
  <si>
    <t>Carpobrotus sp.</t>
  </si>
  <si>
    <t>Carpobrotus</t>
  </si>
  <si>
    <t>Casuarina sp.</t>
  </si>
  <si>
    <t>Chamaecyparis sp.</t>
  </si>
  <si>
    <t>Chamaecyparis</t>
  </si>
  <si>
    <t>Citrus sp.</t>
  </si>
  <si>
    <t>Citrus</t>
  </si>
  <si>
    <t>Cotoneaster sp.</t>
  </si>
  <si>
    <t>Cotoneaster</t>
  </si>
  <si>
    <t>Crataegus sp.</t>
  </si>
  <si>
    <t>Eucalipto azul</t>
  </si>
  <si>
    <t>Eucalipto mugga</t>
  </si>
  <si>
    <t>Eucalyptus sp.</t>
  </si>
  <si>
    <t>Festuca glauca</t>
  </si>
  <si>
    <t>Festuca</t>
  </si>
  <si>
    <t>Geranium sp.</t>
  </si>
  <si>
    <t>Geranio</t>
  </si>
  <si>
    <t>Gossypium arboreum</t>
  </si>
  <si>
    <t>Árbol del agodón</t>
  </si>
  <si>
    <t>Hibiscus sp.</t>
  </si>
  <si>
    <t>Hibisco</t>
  </si>
  <si>
    <t>Hypericum perforatum</t>
  </si>
  <si>
    <t>Hierba de San Juan</t>
  </si>
  <si>
    <t>Juglans sp.</t>
  </si>
  <si>
    <t>Lampranthus sp.</t>
  </si>
  <si>
    <t>Lampranthus</t>
  </si>
  <si>
    <t>Lantana camara</t>
  </si>
  <si>
    <t>Lantana sp.</t>
  </si>
  <si>
    <t>Lantana</t>
  </si>
  <si>
    <t>Ligustrum sp.</t>
  </si>
  <si>
    <t>Magnolia sp.</t>
  </si>
  <si>
    <t>Melaleuca sp.</t>
  </si>
  <si>
    <t>Melaleuca</t>
  </si>
  <si>
    <t>Mentha sp.</t>
  </si>
  <si>
    <t>Menta</t>
  </si>
  <si>
    <t>Myoporum sp.</t>
  </si>
  <si>
    <t>Myrica pavonis</t>
  </si>
  <si>
    <t>Perú</t>
  </si>
  <si>
    <t>Nandina domestica</t>
  </si>
  <si>
    <t>Nandina</t>
  </si>
  <si>
    <t>Passiflora sp.</t>
  </si>
  <si>
    <t>Passiflora</t>
  </si>
  <si>
    <t>Pennisetum atropurpurea</t>
  </si>
  <si>
    <t>Peniseto púrpura</t>
  </si>
  <si>
    <t>Pennisetum sp.</t>
  </si>
  <si>
    <t>Peniseto</t>
  </si>
  <si>
    <t>Peperomia fernandeziana</t>
  </si>
  <si>
    <t>Peperomia inaequalifolia</t>
  </si>
  <si>
    <t>Phoenix sp.</t>
  </si>
  <si>
    <t>Palma</t>
  </si>
  <si>
    <t>Pinus sp.</t>
  </si>
  <si>
    <t>Pino</t>
  </si>
  <si>
    <t>Pirus sp.</t>
  </si>
  <si>
    <t>Perales</t>
  </si>
  <si>
    <t>Pittosporum sp.</t>
  </si>
  <si>
    <t>Pitosp.oro</t>
  </si>
  <si>
    <t>Pittosp.orum dulce</t>
  </si>
  <si>
    <t>Podocarpus sp.</t>
  </si>
  <si>
    <t>Mañío</t>
  </si>
  <si>
    <t>Polylepis rugulosa</t>
  </si>
  <si>
    <t>Queñoa</t>
  </si>
  <si>
    <t>Populus sp.</t>
  </si>
  <si>
    <t>Álamo</t>
  </si>
  <si>
    <t>Prosopis sp.</t>
  </si>
  <si>
    <t>Prosopis</t>
  </si>
  <si>
    <t>Prunus sp.</t>
  </si>
  <si>
    <t>Pyrus sp.</t>
  </si>
  <si>
    <t>Pyrus</t>
  </si>
  <si>
    <t>Quercus sp.</t>
  </si>
  <si>
    <t>Quercus</t>
  </si>
  <si>
    <t>Rhododendron sp.</t>
  </si>
  <si>
    <t>Rododendro</t>
  </si>
  <si>
    <t>Robinia sp.</t>
  </si>
  <si>
    <t>Rosa floribunda</t>
  </si>
  <si>
    <t>Floribunda</t>
  </si>
  <si>
    <t>Salix sp.</t>
  </si>
  <si>
    <t>Sauce</t>
  </si>
  <si>
    <t>Schinus sp.</t>
  </si>
  <si>
    <t>Schinus</t>
  </si>
  <si>
    <t>Senna sp.</t>
  </si>
  <si>
    <t>spiraea sp.</t>
  </si>
  <si>
    <t>spiraea thunbergii</t>
  </si>
  <si>
    <t>Stenocarpus sp.</t>
  </si>
  <si>
    <t>stenocarpus</t>
  </si>
  <si>
    <t>Stipa caudata</t>
  </si>
  <si>
    <t>Pasto puna dulce</t>
  </si>
  <si>
    <t>Stipa sp.</t>
  </si>
  <si>
    <t>Thuja sp.</t>
  </si>
  <si>
    <t>Tuja</t>
  </si>
  <si>
    <t>Siembra directa (bolsa)</t>
  </si>
  <si>
    <t>Siembra directa (bandejas)</t>
  </si>
  <si>
    <t>Aromo común</t>
  </si>
  <si>
    <t>Apium graveolens</t>
  </si>
  <si>
    <t>Apio</t>
  </si>
  <si>
    <t>Baccharis alnifolia</t>
  </si>
  <si>
    <t>Chilka blanca</t>
  </si>
  <si>
    <t>Diplostephium cinereum</t>
  </si>
  <si>
    <t>Handroanthus sp.</t>
  </si>
  <si>
    <t> Lapacho</t>
  </si>
  <si>
    <t>Heliotropium stenophyllum</t>
  </si>
  <si>
    <t>Palito negro</t>
  </si>
  <si>
    <t>Parastrephia lepidophylla</t>
  </si>
  <si>
    <t> Tola tola</t>
  </si>
  <si>
    <t>Parastrephia lucida</t>
  </si>
  <si>
    <t>Ribes punctatum</t>
  </si>
  <si>
    <t>Thymus vulgaris</t>
  </si>
  <si>
    <t>Tomillo</t>
  </si>
  <si>
    <t>Veronica buxifolia</t>
  </si>
  <si>
    <t>N</t>
  </si>
  <si>
    <t>Archidasyphylluym excelsum</t>
  </si>
  <si>
    <t>Tayú del Norte</t>
  </si>
  <si>
    <t>Cortaderia sp.</t>
  </si>
  <si>
    <t>Cola de zorro</t>
  </si>
  <si>
    <t>Discaria trinervis</t>
  </si>
  <si>
    <t>Maihuenia patagonica</t>
  </si>
  <si>
    <t>Chupa sangre / siempre verde</t>
  </si>
  <si>
    <t>Myrceugenia parviflora</t>
  </si>
  <si>
    <t>Patagüilla</t>
  </si>
  <si>
    <t>Pelargonium hortorum</t>
  </si>
  <si>
    <t>Talguenea quinquinervia</t>
  </si>
  <si>
    <t>Tralhuen</t>
  </si>
  <si>
    <t>Zinnia sp.</t>
  </si>
  <si>
    <t>Luis Ayala J.</t>
  </si>
  <si>
    <t>Juan Contreras C.</t>
  </si>
  <si>
    <t>Ana Paredes A.</t>
  </si>
  <si>
    <t>56 9 8596 1236</t>
  </si>
  <si>
    <t>56 2 2663 6666</t>
  </si>
  <si>
    <t>56 4 1253 9654</t>
  </si>
  <si>
    <t>China Muerta</t>
  </si>
  <si>
    <t>Fuentes de Abastecimiento del Material de Propagación</t>
  </si>
  <si>
    <t xml:space="preserve">Siembra de la Semillas </t>
  </si>
  <si>
    <t>Análisis de Semillas</t>
  </si>
  <si>
    <t>Procesos de la Semillas</t>
  </si>
  <si>
    <t>Manejo del Almacigo (Siembra)</t>
  </si>
  <si>
    <t>Aloe arborescens</t>
  </si>
  <si>
    <t>Aloe</t>
  </si>
  <si>
    <t>Planta espejo / Brillantisima</t>
  </si>
  <si>
    <t>Dimorphotheca ecklonis</t>
  </si>
  <si>
    <t>Dimorfoteca / Matacabras / Estrella polar</t>
  </si>
  <si>
    <t xml:space="preserve">Níspero japonés </t>
  </si>
  <si>
    <t>Foeniculum vulgare</t>
  </si>
  <si>
    <t>Hinojo</t>
  </si>
  <si>
    <t>Gaura lindheimeri</t>
  </si>
  <si>
    <t>Gaura blanca</t>
  </si>
  <si>
    <t>Helichrysum italicum</t>
  </si>
  <si>
    <t>Siempreviva del monte / Curry</t>
  </si>
  <si>
    <t>Origanum vulgare</t>
  </si>
  <si>
    <t>Orégano</t>
  </si>
  <si>
    <t>Pennisetum rupeliano</t>
  </si>
  <si>
    <t>Pennisetum</t>
  </si>
  <si>
    <t>Espino negro</t>
  </si>
  <si>
    <t>Solanum chilense</t>
  </si>
  <si>
    <t>Tomatillo</t>
  </si>
  <si>
    <t>Spirea</t>
  </si>
  <si>
    <t>Trixis cacalioides</t>
  </si>
  <si>
    <t>Visavisa</t>
  </si>
  <si>
    <t>Vinca major</t>
  </si>
  <si>
    <t>gr</t>
  </si>
  <si>
    <t>Bandeja_Speedling</t>
  </si>
  <si>
    <t>Bandeja_Tubetes</t>
  </si>
  <si>
    <t>Bolsas</t>
  </si>
  <si>
    <t>Raíz_Desnuda</t>
  </si>
  <si>
    <t>Unidad</t>
  </si>
  <si>
    <t>Pelotazo / Tronadora</t>
  </si>
  <si>
    <t>Palhuén / Espinillo / Varilla brava</t>
  </si>
  <si>
    <t>Blechnum chilense / Parablechnum chilense</t>
  </si>
  <si>
    <t>Blechnum corralense / Austroblechnum corralense</t>
  </si>
  <si>
    <t>Caesalpinia angulata</t>
  </si>
  <si>
    <t>Retamo /Retamilla / Porotera</t>
  </si>
  <si>
    <t>Cassia sturtii</t>
  </si>
  <si>
    <t>Casia</t>
  </si>
  <si>
    <t>Dasyphyllum excelsum / Archidasyphyllum excelsum</t>
  </si>
  <si>
    <t>Dendroseris micrantha</t>
  </si>
  <si>
    <t>Ficus lyrata</t>
  </si>
  <si>
    <t>Gomero Pera / Árbol de lira</t>
  </si>
  <si>
    <t>Acacia de tres espinas</t>
  </si>
  <si>
    <t>Azorella valentini</t>
  </si>
  <si>
    <t>Suspiro</t>
  </si>
  <si>
    <t>Opuntia tilcarensis</t>
  </si>
  <si>
    <t>Ayrampo</t>
  </si>
  <si>
    <t>Enredadera</t>
  </si>
  <si>
    <t>Peperomia margaritífera</t>
  </si>
  <si>
    <t xml:space="preserve">Peperomia sp. </t>
  </si>
  <si>
    <t>Peperomia skottsbergii</t>
  </si>
  <si>
    <t>Plumeria glabra</t>
  </si>
  <si>
    <t>Flor de mayo / Frangipani</t>
  </si>
  <si>
    <t>Rhus crenata</t>
  </si>
  <si>
    <t>Rhus / Rus</t>
  </si>
  <si>
    <t>Rumohra adiantiformis</t>
  </si>
  <si>
    <t>Strelitzia nicolai</t>
  </si>
  <si>
    <t>Ave del Paraíso Blanco / Plátano del Viajero</t>
  </si>
  <si>
    <t>Trevoa quinquenervia</t>
  </si>
  <si>
    <t>Tralhuén / Talguén</t>
  </si>
  <si>
    <t>Yucca elephantipes</t>
  </si>
  <si>
    <t>Yuca gigante / Yuca pie de elefante</t>
  </si>
  <si>
    <t>VIVERO, CENTRO DE ACONDICIONAMIENTO O ACOPIO</t>
  </si>
  <si>
    <t>UNIDAD ADMINISTRATIVA</t>
  </si>
  <si>
    <t>Vivero Quillagua</t>
  </si>
  <si>
    <t xml:space="preserve">Tocopilla </t>
  </si>
  <si>
    <t>Región del Libertador Gral. Bernardo O'Higgins</t>
  </si>
  <si>
    <t>Región del Biobío</t>
  </si>
  <si>
    <t>Vivero San Juan</t>
  </si>
  <si>
    <t>Vivero Chabranco</t>
  </si>
  <si>
    <t>Vivero Liceo Técnico de Ignao</t>
  </si>
  <si>
    <t>Vivero Mashue</t>
  </si>
  <si>
    <t>Vivero Llancacura</t>
  </si>
  <si>
    <t>Región de Aysén del Gral. Carlos Ibáñez del Campo</t>
  </si>
  <si>
    <t>Región Metropolitana</t>
  </si>
  <si>
    <t>Región de Ñuble - Centro de Semillas, Genética y Entomología</t>
  </si>
  <si>
    <t>Diguillin</t>
  </si>
  <si>
    <t>Vivero Mataveri Otai</t>
  </si>
  <si>
    <t>Lagomorfos</t>
  </si>
  <si>
    <t>*INFORMACIÓN A ENTREGAR EN DICIEMBRE 2026</t>
  </si>
  <si>
    <t>Herbáceo</t>
  </si>
  <si>
    <t>Adesmia volckmannii / Adesmia campestris</t>
  </si>
  <si>
    <t>Armeria maritima</t>
  </si>
  <si>
    <t>Clavelina de mar</t>
  </si>
  <si>
    <t>Pezuña de buey / Pata de vaca</t>
  </si>
  <si>
    <t>Arbusto de la llama / Plumerillo rojo</t>
  </si>
  <si>
    <t>Correa pulchella</t>
  </si>
  <si>
    <t>Correa</t>
  </si>
  <si>
    <t>N. Obliqua x N. Alpina (Híbrido)</t>
  </si>
  <si>
    <t>Phyla nodiflora</t>
  </si>
  <si>
    <t>Tiqui tiqui</t>
  </si>
  <si>
    <t>Pitosporo de hojas tenues</t>
  </si>
  <si>
    <t>Rosmarinus officinalis var. prostratus </t>
  </si>
  <si>
    <t>Romero rastrero</t>
  </si>
  <si>
    <t>Schinus patagonicus</t>
  </si>
  <si>
    <t>Laura / Litrecillo</t>
  </si>
  <si>
    <t xml:space="preserve">Nativo </t>
  </si>
  <si>
    <t>Viburnum mascantha</t>
  </si>
  <si>
    <t>Viburno mascantha</t>
  </si>
  <si>
    <t>PROGRAMA DE PRODUCCIÓN Y EVALUACIÓN DE PLANTAS, SIGI GBCC 8 2026</t>
  </si>
  <si>
    <t>Centro Experimental Cauquenes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</si>
</sst>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indexed="81"/>
      <name val="Tahoma"/>
      <family val="2"/>
    </font>
    <font>
      <b/>
      <sz val="10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</font>
    <font>
      <b/>
      <sz val="8"/>
      <color theme="0"/>
      <name val="Verdana"/>
      <family val="2"/>
    </font>
    <font>
      <sz val="8"/>
      <color theme="1"/>
      <name val="Verdana"/>
      <family val="2"/>
    </font>
    <font>
      <sz val="11"/>
      <color rgb="FF000000"/>
      <name val="Verdana"/>
      <family val="2"/>
    </font>
    <font>
      <sz val="8"/>
      <name val="Verdana"/>
      <family val="2"/>
    </font>
    <font>
      <b/>
      <sz val="12"/>
      <color theme="1"/>
      <name val="Calibri"/>
      <family val="2"/>
      <scheme val="minor"/>
    </font>
    <font>
      <b/>
      <u/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b/>
      <sz val="18"/>
      <name val="Calibri"/>
      <family val="2"/>
    </font>
    <font>
      <sz val="9"/>
      <color rgb="FF222222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FF0000"/>
      <name val="Calibri"/>
      <family val="2"/>
    </font>
    <font>
      <i/>
      <sz val="8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i/>
      <sz val="8"/>
      <name val="Calibri"/>
      <family val="2"/>
    </font>
    <font>
      <sz val="8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</fills>
  <borders count="7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/>
      <bottom style="thin">
        <color theme="0" tint="-0.499984740745262"/>
      </bottom>
      <diagonal/>
    </border>
    <border>
      <left/>
      <right style="medium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9" fontId="9" fillId="0" borderId="0" applyFont="0" applyFill="0" applyBorder="0" applyAlignment="0" applyProtection="0"/>
  </cellStyleXfs>
  <cellXfs count="296">
    <xf numFmtId="0" fontId="0" fillId="0" borderId="0" xfId="0"/>
    <xf numFmtId="0" fontId="5" fillId="0" borderId="0" xfId="1" applyFont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9" fontId="2" fillId="0" borderId="0" xfId="2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1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0" fontId="7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7" fillId="0" borderId="4" xfId="0" applyFont="1" applyBorder="1"/>
    <xf numFmtId="0" fontId="5" fillId="0" borderId="4" xfId="0" applyFont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 applyProtection="1">
      <alignment wrapText="1"/>
      <protection locked="0"/>
    </xf>
    <xf numFmtId="0" fontId="7" fillId="0" borderId="0" xfId="0" applyFont="1" applyProtection="1">
      <protection locked="0"/>
    </xf>
    <xf numFmtId="0" fontId="12" fillId="2" borderId="5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/>
    </xf>
    <xf numFmtId="49" fontId="19" fillId="0" borderId="0" xfId="0" applyNumberFormat="1" applyFont="1" applyAlignment="1">
      <alignment horizontal="left" vertical="center"/>
    </xf>
    <xf numFmtId="0" fontId="20" fillId="0" borderId="0" xfId="0" applyFont="1"/>
    <xf numFmtId="49" fontId="19" fillId="0" borderId="12" xfId="0" applyNumberFormat="1" applyFont="1" applyBorder="1" applyAlignment="1">
      <alignment horizontal="left" vertical="center"/>
    </xf>
    <xf numFmtId="49" fontId="19" fillId="0" borderId="14" xfId="0" applyNumberFormat="1" applyFont="1" applyBorder="1" applyAlignment="1">
      <alignment horizontal="left" vertical="center"/>
    </xf>
    <xf numFmtId="49" fontId="19" fillId="0" borderId="22" xfId="0" applyNumberFormat="1" applyFont="1" applyBorder="1" applyAlignment="1">
      <alignment horizontal="left" vertical="center"/>
    </xf>
    <xf numFmtId="49" fontId="19" fillId="0" borderId="28" xfId="0" applyNumberFormat="1" applyFont="1" applyBorder="1" applyAlignment="1">
      <alignment horizontal="left" vertical="center"/>
    </xf>
    <xf numFmtId="49" fontId="19" fillId="0" borderId="25" xfId="0" applyNumberFormat="1" applyFont="1" applyBorder="1" applyAlignment="1">
      <alignment horizontal="left" vertical="center"/>
    </xf>
    <xf numFmtId="49" fontId="19" fillId="0" borderId="27" xfId="0" applyNumberFormat="1" applyFont="1" applyBorder="1" applyAlignment="1">
      <alignment horizontal="left" vertical="center"/>
    </xf>
    <xf numFmtId="49" fontId="21" fillId="0" borderId="12" xfId="0" applyNumberFormat="1" applyFont="1" applyBorder="1" applyAlignment="1">
      <alignment horizontal="left" vertical="center"/>
    </xf>
    <xf numFmtId="49" fontId="21" fillId="0" borderId="14" xfId="0" applyNumberFormat="1" applyFont="1" applyBorder="1" applyAlignment="1">
      <alignment horizontal="left" vertical="center"/>
    </xf>
    <xf numFmtId="49" fontId="21" fillId="0" borderId="22" xfId="0" applyNumberFormat="1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25" xfId="0" applyNumberFormat="1" applyFont="1" applyBorder="1" applyAlignment="1">
      <alignment horizontal="left" vertical="center"/>
    </xf>
    <xf numFmtId="49" fontId="21" fillId="0" borderId="27" xfId="0" applyNumberFormat="1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0" fontId="18" fillId="16" borderId="34" xfId="0" applyFont="1" applyFill="1" applyBorder="1" applyAlignment="1">
      <alignment horizontal="center" vertical="center" wrapText="1"/>
    </xf>
    <xf numFmtId="0" fontId="18" fillId="16" borderId="35" xfId="0" applyFont="1" applyFill="1" applyBorder="1" applyAlignment="1">
      <alignment horizontal="center" vertical="center" wrapText="1"/>
    </xf>
    <xf numFmtId="49" fontId="19" fillId="0" borderId="32" xfId="0" applyNumberFormat="1" applyFont="1" applyBorder="1" applyAlignment="1">
      <alignment horizontal="left" vertical="center"/>
    </xf>
    <xf numFmtId="49" fontId="19" fillId="0" borderId="30" xfId="0" applyNumberFormat="1" applyFont="1" applyBorder="1" applyAlignment="1">
      <alignment horizontal="left" vertical="center"/>
    </xf>
    <xf numFmtId="49" fontId="19" fillId="0" borderId="15" xfId="0" applyNumberFormat="1" applyFont="1" applyBorder="1" applyAlignment="1">
      <alignment horizontal="left" vertical="center"/>
    </xf>
    <xf numFmtId="49" fontId="19" fillId="0" borderId="16" xfId="0" applyNumberFormat="1" applyFont="1" applyBorder="1" applyAlignment="1">
      <alignment horizontal="left" vertical="center"/>
    </xf>
    <xf numFmtId="49" fontId="19" fillId="0" borderId="17" xfId="0" applyNumberFormat="1" applyFont="1" applyBorder="1" applyAlignment="1">
      <alignment horizontal="left" vertical="center"/>
    </xf>
    <xf numFmtId="49" fontId="19" fillId="0" borderId="19" xfId="0" applyNumberFormat="1" applyFont="1" applyBorder="1" applyAlignment="1">
      <alignment horizontal="left" vertical="center"/>
    </xf>
    <xf numFmtId="49" fontId="19" fillId="0" borderId="0" xfId="0" applyNumberFormat="1" applyFont="1" applyAlignment="1">
      <alignment vertical="center"/>
    </xf>
    <xf numFmtId="49" fontId="19" fillId="0" borderId="28" xfId="0" applyNumberFormat="1" applyFont="1" applyBorder="1" applyAlignment="1">
      <alignment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22" xfId="0" applyBorder="1"/>
    <xf numFmtId="0" fontId="0" fillId="0" borderId="28" xfId="0" applyBorder="1"/>
    <xf numFmtId="0" fontId="0" fillId="0" borderId="25" xfId="0" applyBorder="1"/>
    <xf numFmtId="0" fontId="0" fillId="0" borderId="24" xfId="0" applyBorder="1"/>
    <xf numFmtId="0" fontId="0" fillId="0" borderId="27" xfId="0" applyBorder="1"/>
    <xf numFmtId="49" fontId="19" fillId="10" borderId="8" xfId="0" applyNumberFormat="1" applyFont="1" applyFill="1" applyBorder="1" applyAlignment="1">
      <alignment vertical="center"/>
    </xf>
    <xf numFmtId="49" fontId="21" fillId="10" borderId="8" xfId="0" applyNumberFormat="1" applyFont="1" applyFill="1" applyBorder="1" applyAlignment="1">
      <alignment vertical="center"/>
    </xf>
    <xf numFmtId="0" fontId="7" fillId="10" borderId="39" xfId="0" applyFont="1" applyFill="1" applyBorder="1" applyAlignment="1">
      <alignment horizontal="left" vertical="center" wrapText="1"/>
    </xf>
    <xf numFmtId="49" fontId="19" fillId="10" borderId="7" xfId="0" applyNumberFormat="1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7" fillId="8" borderId="1" xfId="0" applyFont="1" applyFill="1" applyBorder="1"/>
    <xf numFmtId="0" fontId="7" fillId="10" borderId="1" xfId="0" applyFont="1" applyFill="1" applyBorder="1"/>
    <xf numFmtId="49" fontId="7" fillId="10" borderId="1" xfId="0" applyNumberFormat="1" applyFont="1" applyFill="1" applyBorder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7" fillId="8" borderId="0" xfId="0" applyFont="1" applyFill="1"/>
    <xf numFmtId="0" fontId="7" fillId="8" borderId="3" xfId="0" applyFont="1" applyFill="1" applyBorder="1"/>
    <xf numFmtId="0" fontId="5" fillId="8" borderId="0" xfId="1" applyFont="1" applyFill="1" applyAlignment="1" applyProtection="1">
      <alignment vertical="center" wrapText="1"/>
      <protection locked="0"/>
    </xf>
    <xf numFmtId="0" fontId="7" fillId="8" borderId="0" xfId="0" applyFont="1" applyFill="1" applyAlignment="1" applyProtection="1">
      <alignment vertical="center" wrapText="1"/>
      <protection locked="0"/>
    </xf>
    <xf numFmtId="0" fontId="7" fillId="8" borderId="0" xfId="0" applyFont="1" applyFill="1" applyAlignment="1">
      <alignment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2" fillId="8" borderId="20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/>
    </xf>
    <xf numFmtId="3" fontId="0" fillId="8" borderId="0" xfId="0" applyNumberFormat="1" applyFill="1" applyAlignment="1">
      <alignment horizontal="center"/>
    </xf>
    <xf numFmtId="4" fontId="0" fillId="8" borderId="0" xfId="0" applyNumberFormat="1" applyFill="1" applyAlignment="1">
      <alignment horizontal="center"/>
    </xf>
    <xf numFmtId="164" fontId="0" fillId="8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27" fillId="0" borderId="1" xfId="0" applyNumberFormat="1" applyFont="1" applyBorder="1" applyAlignment="1" applyProtection="1">
      <alignment horizontal="center" vertical="center" wrapText="1"/>
      <protection locked="0"/>
    </xf>
    <xf numFmtId="0" fontId="27" fillId="3" borderId="1" xfId="0" applyFont="1" applyFill="1" applyBorder="1" applyAlignment="1" applyProtection="1">
      <alignment horizontal="center" vertical="center" wrapText="1"/>
      <protection locked="0"/>
    </xf>
    <xf numFmtId="1" fontId="27" fillId="0" borderId="1" xfId="0" applyNumberFormat="1" applyFont="1" applyBorder="1" applyAlignment="1" applyProtection="1">
      <alignment horizontal="center" vertical="center" wrapText="1"/>
      <protection locked="0"/>
    </xf>
    <xf numFmtId="3" fontId="27" fillId="0" borderId="1" xfId="0" applyNumberFormat="1" applyFont="1" applyBorder="1" applyAlignment="1" applyProtection="1">
      <alignment horizontal="center" vertical="center" wrapText="1"/>
      <protection locked="0"/>
    </xf>
    <xf numFmtId="9" fontId="27" fillId="21" borderId="1" xfId="2" applyFont="1" applyFill="1" applyBorder="1" applyAlignment="1" applyProtection="1">
      <alignment horizontal="center" vertical="center"/>
      <protection locked="0"/>
    </xf>
    <xf numFmtId="3" fontId="27" fillId="6" borderId="1" xfId="0" applyNumberFormat="1" applyFont="1" applyFill="1" applyBorder="1" applyAlignment="1" applyProtection="1">
      <alignment horizontal="center" vertical="center" wrapText="1"/>
      <protection locked="0"/>
    </xf>
    <xf numFmtId="2" fontId="27" fillId="0" borderId="42" xfId="0" applyNumberFormat="1" applyFont="1" applyBorder="1" applyAlignment="1" applyProtection="1">
      <alignment horizontal="center" vertical="center" wrapText="1"/>
      <protection locked="0"/>
    </xf>
    <xf numFmtId="2" fontId="27" fillId="0" borderId="2" xfId="0" applyNumberFormat="1" applyFont="1" applyBorder="1" applyAlignment="1" applyProtection="1">
      <alignment horizontal="center" vertical="center" wrapText="1"/>
      <protection locked="0"/>
    </xf>
    <xf numFmtId="2" fontId="27" fillId="0" borderId="45" xfId="0" applyNumberFormat="1" applyFont="1" applyBorder="1" applyAlignment="1" applyProtection="1">
      <alignment horizontal="center" vertical="center" wrapText="1"/>
      <protection locked="0"/>
    </xf>
    <xf numFmtId="9" fontId="27" fillId="6" borderId="11" xfId="2" applyFont="1" applyFill="1" applyBorder="1" applyAlignment="1">
      <alignment horizontal="center" vertical="center" wrapText="1"/>
    </xf>
    <xf numFmtId="2" fontId="27" fillId="0" borderId="5" xfId="0" applyNumberFormat="1" applyFont="1" applyBorder="1" applyAlignment="1" applyProtection="1">
      <alignment horizontal="center" vertical="center" wrapText="1"/>
      <protection locked="0"/>
    </xf>
    <xf numFmtId="3" fontId="27" fillId="20" borderId="45" xfId="0" applyNumberFormat="1" applyFont="1" applyFill="1" applyBorder="1" applyAlignment="1" applyProtection="1">
      <alignment horizontal="center" vertical="center" wrapText="1"/>
      <protection locked="0"/>
    </xf>
    <xf numFmtId="9" fontId="27" fillId="21" borderId="11" xfId="2" applyFont="1" applyFill="1" applyBorder="1" applyAlignment="1" applyProtection="1">
      <alignment horizontal="center" vertical="center"/>
      <protection locked="0"/>
    </xf>
    <xf numFmtId="2" fontId="27" fillId="0" borderId="52" xfId="0" applyNumberFormat="1" applyFont="1" applyBorder="1" applyAlignment="1" applyProtection="1">
      <alignment horizontal="center" vertical="center" wrapText="1"/>
      <protection locked="0"/>
    </xf>
    <xf numFmtId="2" fontId="27" fillId="0" borderId="48" xfId="0" applyNumberFormat="1" applyFont="1" applyBorder="1" applyAlignment="1" applyProtection="1">
      <alignment horizontal="center" vertical="center" wrapText="1"/>
      <protection locked="0"/>
    </xf>
    <xf numFmtId="2" fontId="27" fillId="0" borderId="49" xfId="0" applyNumberFormat="1" applyFont="1" applyBorder="1" applyAlignment="1" applyProtection="1">
      <alignment horizontal="center" vertical="center" wrapText="1"/>
      <protection locked="0"/>
    </xf>
    <xf numFmtId="1" fontId="27" fillId="0" borderId="48" xfId="0" applyNumberFormat="1" applyFont="1" applyBorder="1" applyAlignment="1" applyProtection="1">
      <alignment horizontal="center" vertical="center" wrapText="1"/>
      <protection locked="0"/>
    </xf>
    <xf numFmtId="3" fontId="27" fillId="0" borderId="48" xfId="0" applyNumberFormat="1" applyFont="1" applyBorder="1" applyAlignment="1" applyProtection="1">
      <alignment horizontal="center" vertical="center" wrapText="1"/>
      <protection locked="0"/>
    </xf>
    <xf numFmtId="3" fontId="27" fillId="20" borderId="52" xfId="0" applyNumberFormat="1" applyFont="1" applyFill="1" applyBorder="1" applyAlignment="1" applyProtection="1">
      <alignment horizontal="center" vertical="center" wrapText="1"/>
      <protection locked="0"/>
    </xf>
    <xf numFmtId="9" fontId="27" fillId="21" borderId="48" xfId="2" applyFont="1" applyFill="1" applyBorder="1" applyAlignment="1" applyProtection="1">
      <alignment horizontal="center" vertical="center"/>
      <protection locked="0"/>
    </xf>
    <xf numFmtId="9" fontId="27" fillId="21" borderId="50" xfId="2" applyFont="1" applyFill="1" applyBorder="1" applyAlignment="1" applyProtection="1">
      <alignment horizontal="center" vertical="center"/>
      <protection locked="0"/>
    </xf>
    <xf numFmtId="2" fontId="27" fillId="0" borderId="51" xfId="0" applyNumberFormat="1" applyFont="1" applyBorder="1" applyAlignment="1" applyProtection="1">
      <alignment horizontal="center" vertical="center" wrapText="1"/>
      <protection locked="0"/>
    </xf>
    <xf numFmtId="3" fontId="27" fillId="6" borderId="48" xfId="0" applyNumberFormat="1" applyFont="1" applyFill="1" applyBorder="1" applyAlignment="1" applyProtection="1">
      <alignment horizontal="center" vertical="center" wrapText="1"/>
      <protection locked="0"/>
    </xf>
    <xf numFmtId="9" fontId="27" fillId="6" borderId="50" xfId="2" applyFont="1" applyFill="1" applyBorder="1" applyAlignment="1">
      <alignment horizontal="center" vertical="center" wrapText="1"/>
    </xf>
    <xf numFmtId="2" fontId="27" fillId="0" borderId="41" xfId="0" applyNumberFormat="1" applyFont="1" applyBorder="1" applyAlignment="1" applyProtection="1">
      <alignment horizontal="center" vertical="center" wrapText="1"/>
      <protection locked="0"/>
    </xf>
    <xf numFmtId="0" fontId="27" fillId="3" borderId="2" xfId="0" applyFont="1" applyFill="1" applyBorder="1" applyAlignment="1" applyProtection="1">
      <alignment horizontal="center" vertical="center" wrapText="1"/>
      <protection locked="0"/>
    </xf>
    <xf numFmtId="2" fontId="27" fillId="0" borderId="50" xfId="0" applyNumberFormat="1" applyFont="1" applyBorder="1" applyAlignment="1" applyProtection="1">
      <alignment horizontal="center" vertical="center" wrapText="1"/>
      <protection locked="0"/>
    </xf>
    <xf numFmtId="2" fontId="27" fillId="0" borderId="11" xfId="0" applyNumberFormat="1" applyFont="1" applyBorder="1" applyAlignment="1" applyProtection="1">
      <alignment horizontal="center" vertical="center" wrapText="1"/>
      <protection locked="0"/>
    </xf>
    <xf numFmtId="0" fontId="27" fillId="3" borderId="52" xfId="0" applyFont="1" applyFill="1" applyBorder="1" applyAlignment="1">
      <alignment horizontal="center" vertical="center" wrapText="1"/>
    </xf>
    <xf numFmtId="0" fontId="27" fillId="3" borderId="48" xfId="0" applyFont="1" applyFill="1" applyBorder="1" applyAlignment="1" applyProtection="1">
      <alignment horizontal="center" vertical="center" wrapText="1"/>
      <protection locked="0"/>
    </xf>
    <xf numFmtId="0" fontId="27" fillId="3" borderId="49" xfId="0" applyFont="1" applyFill="1" applyBorder="1" applyAlignment="1" applyProtection="1">
      <alignment horizontal="center" vertical="center" wrapText="1"/>
      <protection locked="0"/>
    </xf>
    <xf numFmtId="0" fontId="27" fillId="3" borderId="45" xfId="0" applyFont="1" applyFill="1" applyBorder="1" applyAlignment="1">
      <alignment horizontal="center" vertical="center" wrapText="1"/>
    </xf>
    <xf numFmtId="0" fontId="27" fillId="3" borderId="41" xfId="0" applyFont="1" applyFill="1" applyBorder="1" applyAlignment="1" applyProtection="1">
      <alignment horizontal="center" vertical="center" wrapText="1"/>
      <protection locked="0"/>
    </xf>
    <xf numFmtId="0" fontId="27" fillId="3" borderId="42" xfId="0" applyFont="1" applyFill="1" applyBorder="1" applyAlignment="1" applyProtection="1">
      <alignment horizontal="center" vertical="center" wrapText="1"/>
      <protection locked="0"/>
    </xf>
    <xf numFmtId="3" fontId="27" fillId="14" borderId="41" xfId="0" applyNumberFormat="1" applyFont="1" applyFill="1" applyBorder="1" applyAlignment="1">
      <alignment horizontal="center" vertical="center" wrapText="1"/>
    </xf>
    <xf numFmtId="3" fontId="27" fillId="14" borderId="42" xfId="0" applyNumberFormat="1" applyFont="1" applyFill="1" applyBorder="1" applyAlignment="1">
      <alignment horizontal="center" vertical="center" wrapText="1"/>
    </xf>
    <xf numFmtId="0" fontId="28" fillId="8" borderId="0" xfId="0" applyFont="1" applyFill="1" applyAlignment="1">
      <alignment horizontal="center" vertical="center"/>
    </xf>
    <xf numFmtId="3" fontId="28" fillId="8" borderId="0" xfId="0" applyNumberFormat="1" applyFont="1" applyFill="1" applyAlignment="1">
      <alignment horizontal="center" vertical="center"/>
    </xf>
    <xf numFmtId="4" fontId="28" fillId="8" borderId="0" xfId="0" applyNumberFormat="1" applyFont="1" applyFill="1" applyAlignment="1">
      <alignment horizontal="center" vertical="center"/>
    </xf>
    <xf numFmtId="164" fontId="28" fillId="8" borderId="0" xfId="0" applyNumberFormat="1" applyFont="1" applyFill="1" applyAlignment="1">
      <alignment horizontal="center" vertical="center"/>
    </xf>
    <xf numFmtId="3" fontId="22" fillId="17" borderId="25" xfId="0" applyNumberFormat="1" applyFont="1" applyFill="1" applyBorder="1" applyAlignment="1">
      <alignment horizontal="center" vertical="center" wrapText="1"/>
    </xf>
    <xf numFmtId="3" fontId="22" fillId="17" borderId="26" xfId="0" applyNumberFormat="1" applyFont="1" applyFill="1" applyBorder="1" applyAlignment="1">
      <alignment horizontal="center" vertical="center" wrapText="1"/>
    </xf>
    <xf numFmtId="9" fontId="22" fillId="17" borderId="27" xfId="2" applyFont="1" applyFill="1" applyBorder="1" applyAlignment="1">
      <alignment horizontal="center" vertical="center" wrapText="1"/>
    </xf>
    <xf numFmtId="3" fontId="22" fillId="14" borderId="33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14" fontId="27" fillId="21" borderId="48" xfId="2" applyNumberFormat="1" applyFont="1" applyFill="1" applyBorder="1" applyAlignment="1" applyProtection="1">
      <alignment horizontal="center" vertical="center"/>
      <protection locked="0"/>
    </xf>
    <xf numFmtId="14" fontId="27" fillId="21" borderId="1" xfId="2" applyNumberFormat="1" applyFont="1" applyFill="1" applyBorder="1" applyAlignment="1" applyProtection="1">
      <alignment horizontal="center" vertical="center"/>
      <protection locked="0"/>
    </xf>
    <xf numFmtId="1" fontId="27" fillId="21" borderId="48" xfId="2" applyNumberFormat="1" applyFont="1" applyFill="1" applyBorder="1" applyAlignment="1" applyProtection="1">
      <alignment horizontal="center" vertical="center"/>
      <protection locked="0"/>
    </xf>
    <xf numFmtId="1" fontId="27" fillId="21" borderId="1" xfId="2" applyNumberFormat="1" applyFont="1" applyFill="1" applyBorder="1" applyAlignment="1" applyProtection="1">
      <alignment horizontal="center" vertical="center"/>
      <protection locked="0"/>
    </xf>
    <xf numFmtId="14" fontId="27" fillId="0" borderId="51" xfId="0" applyNumberFormat="1" applyFont="1" applyBorder="1" applyAlignment="1" applyProtection="1">
      <alignment horizontal="center" vertical="center" wrapText="1"/>
      <protection locked="0"/>
    </xf>
    <xf numFmtId="14" fontId="27" fillId="0" borderId="5" xfId="0" applyNumberFormat="1" applyFont="1" applyBorder="1" applyAlignment="1" applyProtection="1">
      <alignment horizontal="center" vertical="center" wrapText="1"/>
      <protection locked="0"/>
    </xf>
    <xf numFmtId="4" fontId="27" fillId="19" borderId="51" xfId="0" applyNumberFormat="1" applyFont="1" applyFill="1" applyBorder="1" applyAlignment="1">
      <alignment horizontal="center" vertical="center" wrapText="1"/>
    </xf>
    <xf numFmtId="4" fontId="27" fillId="19" borderId="5" xfId="0" applyNumberFormat="1" applyFont="1" applyFill="1" applyBorder="1" applyAlignment="1">
      <alignment horizontal="center" vertical="center" wrapText="1"/>
    </xf>
    <xf numFmtId="14" fontId="27" fillId="0" borderId="48" xfId="0" applyNumberFormat="1" applyFont="1" applyBorder="1" applyAlignment="1" applyProtection="1">
      <alignment horizontal="center" vertical="center" wrapText="1"/>
      <protection locked="0"/>
    </xf>
    <xf numFmtId="14" fontId="27" fillId="0" borderId="1" xfId="0" applyNumberFormat="1" applyFont="1" applyBorder="1" applyAlignment="1" applyProtection="1">
      <alignment horizontal="center" vertical="center" wrapText="1"/>
      <protection locked="0"/>
    </xf>
    <xf numFmtId="0" fontId="7" fillId="10" borderId="4" xfId="0" applyFont="1" applyFill="1" applyBorder="1"/>
    <xf numFmtId="0" fontId="7" fillId="8" borderId="4" xfId="0" applyFont="1" applyFill="1" applyBorder="1"/>
    <xf numFmtId="0" fontId="7" fillId="0" borderId="4" xfId="0" applyFont="1" applyBorder="1" applyAlignment="1">
      <alignment horizontal="left"/>
    </xf>
    <xf numFmtId="0" fontId="6" fillId="0" borderId="4" xfId="0" applyFont="1" applyBorder="1"/>
    <xf numFmtId="0" fontId="7" fillId="0" borderId="53" xfId="0" applyFont="1" applyBorder="1"/>
    <xf numFmtId="0" fontId="7" fillId="0" borderId="54" xfId="0" applyFont="1" applyBorder="1"/>
    <xf numFmtId="0" fontId="7" fillId="0" borderId="53" xfId="0" applyFont="1" applyBorder="1" applyAlignment="1">
      <alignment horizontal="left"/>
    </xf>
    <xf numFmtId="0" fontId="7" fillId="0" borderId="54" xfId="0" applyFont="1" applyBorder="1" applyAlignment="1">
      <alignment horizontal="left"/>
    </xf>
    <xf numFmtId="0" fontId="7" fillId="10" borderId="4" xfId="0" applyFont="1" applyFill="1" applyBorder="1" applyAlignment="1">
      <alignment horizontal="left"/>
    </xf>
    <xf numFmtId="0" fontId="31" fillId="8" borderId="0" xfId="0" applyFont="1" applyFill="1" applyAlignment="1">
      <alignment horizontal="center" vertical="center"/>
    </xf>
    <xf numFmtId="0" fontId="33" fillId="0" borderId="4" xfId="1" applyFont="1" applyBorder="1" applyAlignment="1">
      <alignment horizontal="center" vertical="center"/>
    </xf>
    <xf numFmtId="0" fontId="32" fillId="0" borderId="4" xfId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33" fillId="0" borderId="4" xfId="1" applyFont="1" applyBorder="1" applyAlignment="1">
      <alignment horizontal="center" vertical="center" wrapText="1"/>
    </xf>
    <xf numFmtId="0" fontId="32" fillId="0" borderId="4" xfId="1" applyFont="1" applyBorder="1" applyAlignment="1">
      <alignment horizontal="center" vertical="center" wrapText="1"/>
    </xf>
    <xf numFmtId="0" fontId="33" fillId="0" borderId="4" xfId="1" applyFont="1" applyBorder="1" applyAlignment="1" applyProtection="1">
      <alignment horizontal="center" vertical="center"/>
      <protection locked="0"/>
    </xf>
    <xf numFmtId="0" fontId="32" fillId="0" borderId="4" xfId="1" applyFont="1" applyBorder="1" applyAlignment="1" applyProtection="1">
      <alignment horizontal="center" vertical="center"/>
      <protection locked="0"/>
    </xf>
    <xf numFmtId="0" fontId="27" fillId="0" borderId="4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28" fillId="8" borderId="21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34" fillId="23" borderId="4" xfId="0" applyFont="1" applyFill="1" applyBorder="1" applyAlignment="1">
      <alignment horizontal="center" vertical="center" wrapText="1"/>
    </xf>
    <xf numFmtId="0" fontId="35" fillId="23" borderId="4" xfId="0" applyFont="1" applyFill="1" applyBorder="1" applyAlignment="1">
      <alignment horizontal="center" vertical="center" wrapText="1"/>
    </xf>
    <xf numFmtId="0" fontId="32" fillId="0" borderId="55" xfId="1" applyFont="1" applyBorder="1" applyAlignment="1">
      <alignment horizontal="center" vertical="center"/>
    </xf>
    <xf numFmtId="0" fontId="27" fillId="0" borderId="55" xfId="0" applyFont="1" applyBorder="1" applyAlignment="1">
      <alignment horizontal="center" vertical="center"/>
    </xf>
    <xf numFmtId="0" fontId="32" fillId="0" borderId="56" xfId="1" applyFont="1" applyBorder="1" applyAlignment="1">
      <alignment horizontal="center" vertical="center" wrapText="1"/>
    </xf>
    <xf numFmtId="0" fontId="33" fillId="0" borderId="54" xfId="1" applyFont="1" applyBorder="1" applyAlignment="1">
      <alignment horizontal="center" vertical="center"/>
    </xf>
    <xf numFmtId="0" fontId="32" fillId="0" borderId="56" xfId="1" applyFont="1" applyBorder="1" applyAlignment="1">
      <alignment horizontal="center" vertical="center"/>
    </xf>
    <xf numFmtId="0" fontId="27" fillId="0" borderId="56" xfId="0" applyFont="1" applyBorder="1" applyAlignment="1">
      <alignment horizontal="center" vertical="center"/>
    </xf>
    <xf numFmtId="0" fontId="32" fillId="22" borderId="4" xfId="0" applyFont="1" applyFill="1" applyBorder="1" applyAlignment="1">
      <alignment horizontal="center" vertical="center" wrapText="1"/>
    </xf>
    <xf numFmtId="0" fontId="32" fillId="8" borderId="1" xfId="0" applyFont="1" applyFill="1" applyBorder="1" applyAlignment="1">
      <alignment horizontal="left" vertical="center" wrapText="1"/>
    </xf>
    <xf numFmtId="0" fontId="32" fillId="8" borderId="1" xfId="0" applyFont="1" applyFill="1" applyBorder="1" applyAlignment="1">
      <alignment horizontal="center" vertical="center" wrapText="1"/>
    </xf>
    <xf numFmtId="0" fontId="32" fillId="8" borderId="57" xfId="0" applyFont="1" applyFill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57" xfId="0" applyFont="1" applyBorder="1" applyAlignment="1">
      <alignment horizontal="left" vertical="center" wrapText="1"/>
    </xf>
    <xf numFmtId="0" fontId="32" fillId="8" borderId="58" xfId="0" applyFont="1" applyFill="1" applyBorder="1" applyAlignment="1">
      <alignment horizontal="left" vertical="center" wrapText="1"/>
    </xf>
    <xf numFmtId="0" fontId="32" fillId="8" borderId="58" xfId="0" applyFont="1" applyFill="1" applyBorder="1" applyAlignment="1">
      <alignment horizontal="center" vertical="center" wrapText="1"/>
    </xf>
    <xf numFmtId="0" fontId="32" fillId="8" borderId="59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26" fillId="0" borderId="0" xfId="0" applyFont="1"/>
    <xf numFmtId="0" fontId="32" fillId="24" borderId="4" xfId="1" applyFont="1" applyFill="1" applyBorder="1" applyAlignment="1">
      <alignment horizontal="center" vertical="center"/>
    </xf>
    <xf numFmtId="0" fontId="33" fillId="0" borderId="54" xfId="1" applyFont="1" applyBorder="1" applyAlignment="1">
      <alignment horizontal="center" vertical="center" wrapText="1"/>
    </xf>
    <xf numFmtId="0" fontId="35" fillId="23" borderId="56" xfId="0" applyFont="1" applyFill="1" applyBorder="1" applyAlignment="1">
      <alignment horizontal="center" vertical="center" wrapText="1"/>
    </xf>
    <xf numFmtId="0" fontId="30" fillId="8" borderId="60" xfId="0" applyFont="1" applyFill="1" applyBorder="1" applyAlignment="1">
      <alignment horizontal="center" vertical="center" wrapText="1"/>
    </xf>
    <xf numFmtId="2" fontId="27" fillId="8" borderId="61" xfId="0" applyNumberFormat="1" applyFont="1" applyFill="1" applyBorder="1" applyAlignment="1" applyProtection="1">
      <alignment horizontal="center" vertical="center" wrapText="1"/>
      <protection locked="0"/>
    </xf>
    <xf numFmtId="0" fontId="27" fillId="19" borderId="4" xfId="0" applyFont="1" applyFill="1" applyBorder="1" applyAlignment="1">
      <alignment horizontal="center" vertical="center" wrapText="1"/>
    </xf>
    <xf numFmtId="0" fontId="30" fillId="8" borderId="62" xfId="0" applyFont="1" applyFill="1" applyBorder="1" applyAlignment="1">
      <alignment horizontal="center" vertical="center" wrapText="1"/>
    </xf>
    <xf numFmtId="0" fontId="27" fillId="19" borderId="54" xfId="0" applyFont="1" applyFill="1" applyBorder="1" applyAlignment="1">
      <alignment horizontal="center" vertical="center" wrapText="1"/>
    </xf>
    <xf numFmtId="2" fontId="27" fillId="8" borderId="63" xfId="0" applyNumberFormat="1" applyFont="1" applyFill="1" applyBorder="1" applyAlignment="1" applyProtection="1">
      <alignment horizontal="center" vertical="center" wrapText="1"/>
      <protection locked="0"/>
    </xf>
    <xf numFmtId="0" fontId="32" fillId="8" borderId="64" xfId="0" applyFont="1" applyFill="1" applyBorder="1" applyAlignment="1">
      <alignment horizontal="left" vertical="center" wrapText="1"/>
    </xf>
    <xf numFmtId="0" fontId="32" fillId="8" borderId="65" xfId="0" applyFont="1" applyFill="1" applyBorder="1" applyAlignment="1">
      <alignment horizontal="center" vertical="center" wrapText="1"/>
    </xf>
    <xf numFmtId="0" fontId="32" fillId="8" borderId="65" xfId="0" applyFont="1" applyFill="1" applyBorder="1" applyAlignment="1">
      <alignment horizontal="left" vertical="center" wrapText="1"/>
    </xf>
    <xf numFmtId="0" fontId="32" fillId="8" borderId="66" xfId="0" applyFont="1" applyFill="1" applyBorder="1" applyAlignment="1">
      <alignment horizontal="left" vertical="center" wrapText="1"/>
    </xf>
    <xf numFmtId="0" fontId="32" fillId="8" borderId="67" xfId="0" applyFont="1" applyFill="1" applyBorder="1" applyAlignment="1">
      <alignment horizontal="left" vertical="center" wrapText="1"/>
    </xf>
    <xf numFmtId="0" fontId="32" fillId="0" borderId="67" xfId="0" applyFont="1" applyBorder="1" applyAlignment="1">
      <alignment horizontal="left" vertical="center" wrapText="1"/>
    </xf>
    <xf numFmtId="0" fontId="32" fillId="0" borderId="68" xfId="0" applyFont="1" applyBorder="1" applyAlignment="1">
      <alignment horizontal="left" vertical="center" wrapText="1"/>
    </xf>
    <xf numFmtId="0" fontId="32" fillId="8" borderId="69" xfId="0" applyFont="1" applyFill="1" applyBorder="1" applyAlignment="1">
      <alignment horizontal="left" vertical="center" wrapText="1"/>
    </xf>
    <xf numFmtId="0" fontId="22" fillId="8" borderId="12" xfId="0" applyFont="1" applyFill="1" applyBorder="1" applyAlignment="1">
      <alignment horizontal="center" vertical="center"/>
    </xf>
    <xf numFmtId="0" fontId="22" fillId="8" borderId="13" xfId="0" applyFont="1" applyFill="1" applyBorder="1" applyAlignment="1">
      <alignment horizontal="center" vertical="center"/>
    </xf>
    <xf numFmtId="0" fontId="16" fillId="6" borderId="13" xfId="0" applyFont="1" applyFill="1" applyBorder="1" applyAlignment="1">
      <alignment horizontal="center" vertical="center"/>
    </xf>
    <xf numFmtId="0" fontId="16" fillId="6" borderId="14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5" fillId="5" borderId="14" xfId="0" applyFont="1" applyFill="1" applyBorder="1" applyAlignment="1">
      <alignment horizontal="center" vertical="center"/>
    </xf>
    <xf numFmtId="0" fontId="8" fillId="12" borderId="22" xfId="0" applyFont="1" applyFill="1" applyBorder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2" fontId="25" fillId="18" borderId="22" xfId="0" applyNumberFormat="1" applyFont="1" applyFill="1" applyBorder="1" applyAlignment="1">
      <alignment horizontal="center" vertical="center"/>
    </xf>
    <xf numFmtId="2" fontId="25" fillId="18" borderId="0" xfId="0" applyNumberFormat="1" applyFont="1" applyFill="1" applyAlignment="1">
      <alignment horizontal="center" vertical="center"/>
    </xf>
    <xf numFmtId="2" fontId="25" fillId="18" borderId="28" xfId="0" applyNumberFormat="1" applyFont="1" applyFill="1" applyBorder="1" applyAlignment="1">
      <alignment horizontal="center" vertical="center"/>
    </xf>
    <xf numFmtId="0" fontId="24" fillId="8" borderId="24" xfId="0" applyFont="1" applyFill="1" applyBorder="1" applyAlignment="1">
      <alignment horizontal="right" vertical="center"/>
    </xf>
    <xf numFmtId="0" fontId="8" fillId="10" borderId="32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4" borderId="32" xfId="0" applyFont="1" applyFill="1" applyBorder="1" applyAlignment="1">
      <alignment horizontal="center" vertical="center" wrapText="1"/>
    </xf>
    <xf numFmtId="0" fontId="8" fillId="4" borderId="47" xfId="0" applyFont="1" applyFill="1" applyBorder="1" applyAlignment="1">
      <alignment horizontal="center" vertical="center" wrapText="1"/>
    </xf>
    <xf numFmtId="0" fontId="8" fillId="4" borderId="29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8" fillId="4" borderId="44" xfId="0" applyFont="1" applyFill="1" applyBorder="1" applyAlignment="1">
      <alignment horizontal="center" vertical="center" wrapText="1"/>
    </xf>
    <xf numFmtId="0" fontId="8" fillId="4" borderId="43" xfId="0" applyFont="1" applyFill="1" applyBorder="1" applyAlignment="1">
      <alignment horizontal="center" vertical="center" wrapText="1"/>
    </xf>
    <xf numFmtId="0" fontId="8" fillId="4" borderId="36" xfId="0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8" fillId="13" borderId="32" xfId="0" applyFont="1" applyFill="1" applyBorder="1" applyAlignment="1">
      <alignment horizontal="center" vertical="center" wrapText="1"/>
    </xf>
    <xf numFmtId="0" fontId="8" fillId="13" borderId="17" xfId="0" applyFont="1" applyFill="1" applyBorder="1" applyAlignment="1">
      <alignment horizontal="center" vertical="center" wrapText="1"/>
    </xf>
    <xf numFmtId="0" fontId="8" fillId="13" borderId="29" xfId="0" applyFont="1" applyFill="1" applyBorder="1" applyAlignment="1">
      <alignment horizontal="center" vertical="center" wrapText="1"/>
    </xf>
    <xf numFmtId="0" fontId="8" fillId="13" borderId="18" xfId="0" applyFont="1" applyFill="1" applyBorder="1" applyAlignment="1">
      <alignment horizontal="center" vertical="center" wrapText="1"/>
    </xf>
    <xf numFmtId="0" fontId="8" fillId="13" borderId="30" xfId="0" applyFont="1" applyFill="1" applyBorder="1" applyAlignment="1">
      <alignment horizontal="center" vertical="center" wrapText="1"/>
    </xf>
    <xf numFmtId="0" fontId="8" fillId="13" borderId="19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8" fillId="2" borderId="43" xfId="0" applyFont="1" applyFill="1" applyBorder="1" applyAlignment="1">
      <alignment horizontal="center" vertical="center" wrapText="1"/>
    </xf>
    <xf numFmtId="0" fontId="8" fillId="10" borderId="29" xfId="0" applyFont="1" applyFill="1" applyBorder="1" applyAlignment="1">
      <alignment horizontal="center" vertical="center" wrapText="1"/>
    </xf>
    <xf numFmtId="0" fontId="8" fillId="10" borderId="18" xfId="0" applyFont="1" applyFill="1" applyBorder="1" applyAlignment="1">
      <alignment horizontal="center" vertical="center" wrapText="1"/>
    </xf>
    <xf numFmtId="3" fontId="8" fillId="10" borderId="29" xfId="0" applyNumberFormat="1" applyFont="1" applyFill="1" applyBorder="1" applyAlignment="1">
      <alignment horizontal="center" vertical="center" wrapText="1"/>
    </xf>
    <xf numFmtId="3" fontId="8" fillId="10" borderId="18" xfId="0" applyNumberFormat="1" applyFont="1" applyFill="1" applyBorder="1" applyAlignment="1">
      <alignment horizontal="center" vertical="center" wrapText="1"/>
    </xf>
    <xf numFmtId="0" fontId="8" fillId="10" borderId="30" xfId="0" applyFont="1" applyFill="1" applyBorder="1" applyAlignment="1">
      <alignment horizontal="center" vertical="center" wrapText="1"/>
    </xf>
    <xf numFmtId="0" fontId="8" fillId="10" borderId="19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8" fillId="14" borderId="36" xfId="0" applyFont="1" applyFill="1" applyBorder="1" applyAlignment="1">
      <alignment horizontal="center" vertical="center" wrapText="1"/>
    </xf>
    <xf numFmtId="0" fontId="8" fillId="14" borderId="38" xfId="0" applyFont="1" applyFill="1" applyBorder="1" applyAlignment="1">
      <alignment horizontal="center" vertical="center" wrapText="1"/>
    </xf>
    <xf numFmtId="0" fontId="1" fillId="9" borderId="31" xfId="0" applyFont="1" applyFill="1" applyBorder="1" applyAlignment="1">
      <alignment horizontal="center" vertical="center" wrapText="1"/>
    </xf>
    <xf numFmtId="0" fontId="1" fillId="9" borderId="46" xfId="0" applyFont="1" applyFill="1" applyBorder="1" applyAlignment="1">
      <alignment horizontal="center" vertical="center" wrapText="1"/>
    </xf>
    <xf numFmtId="3" fontId="8" fillId="9" borderId="29" xfId="0" applyNumberFormat="1" applyFont="1" applyFill="1" applyBorder="1" applyAlignment="1">
      <alignment horizontal="center" vertical="center" wrapText="1"/>
    </xf>
    <xf numFmtId="3" fontId="8" fillId="9" borderId="23" xfId="0" applyNumberFormat="1" applyFont="1" applyFill="1" applyBorder="1" applyAlignment="1">
      <alignment horizontal="center" vertical="center" wrapText="1"/>
    </xf>
    <xf numFmtId="4" fontId="8" fillId="9" borderId="29" xfId="0" applyNumberFormat="1" applyFont="1" applyFill="1" applyBorder="1" applyAlignment="1">
      <alignment horizontal="center" vertical="center" wrapText="1"/>
    </xf>
    <xf numFmtId="4" fontId="8" fillId="9" borderId="23" xfId="0" applyNumberFormat="1" applyFont="1" applyFill="1" applyBorder="1" applyAlignment="1">
      <alignment horizontal="center" vertical="center" wrapText="1"/>
    </xf>
    <xf numFmtId="4" fontId="8" fillId="9" borderId="30" xfId="0" applyNumberFormat="1" applyFont="1" applyFill="1" applyBorder="1" applyAlignment="1">
      <alignment horizontal="center" vertical="center" wrapText="1"/>
    </xf>
    <xf numFmtId="4" fontId="8" fillId="9" borderId="40" xfId="0" applyNumberFormat="1" applyFont="1" applyFill="1" applyBorder="1" applyAlignment="1">
      <alignment horizontal="center" vertical="center" wrapText="1"/>
    </xf>
    <xf numFmtId="164" fontId="8" fillId="2" borderId="32" xfId="0" applyNumberFormat="1" applyFont="1" applyFill="1" applyBorder="1" applyAlignment="1">
      <alignment horizontal="center" vertical="center" wrapText="1"/>
    </xf>
    <xf numFmtId="164" fontId="8" fillId="2" borderId="47" xfId="0" applyNumberFormat="1" applyFont="1" applyFill="1" applyBorder="1" applyAlignment="1">
      <alignment horizontal="center" vertical="center" wrapText="1"/>
    </xf>
    <xf numFmtId="3" fontId="8" fillId="2" borderId="29" xfId="0" applyNumberFormat="1" applyFont="1" applyFill="1" applyBorder="1" applyAlignment="1">
      <alignment horizontal="center" vertical="center" wrapText="1"/>
    </xf>
    <xf numFmtId="3" fontId="8" fillId="2" borderId="23" xfId="0" applyNumberFormat="1" applyFont="1" applyFill="1" applyBorder="1" applyAlignment="1">
      <alignment horizontal="center" vertical="center" wrapText="1"/>
    </xf>
    <xf numFmtId="3" fontId="8" fillId="11" borderId="32" xfId="0" applyNumberFormat="1" applyFont="1" applyFill="1" applyBorder="1" applyAlignment="1">
      <alignment horizontal="center" vertical="center" wrapText="1"/>
    </xf>
    <xf numFmtId="3" fontId="8" fillId="11" borderId="47" xfId="0" applyNumberFormat="1" applyFont="1" applyFill="1" applyBorder="1" applyAlignment="1">
      <alignment horizontal="center" vertical="center" wrapText="1"/>
    </xf>
    <xf numFmtId="0" fontId="1" fillId="20" borderId="20" xfId="0" applyFont="1" applyFill="1" applyBorder="1" applyAlignment="1">
      <alignment horizontal="center" vertical="center" wrapText="1"/>
    </xf>
    <xf numFmtId="0" fontId="1" fillId="20" borderId="21" xfId="0" applyFont="1" applyFill="1" applyBorder="1" applyAlignment="1">
      <alignment horizontal="center" vertical="center" wrapText="1"/>
    </xf>
    <xf numFmtId="2" fontId="29" fillId="17" borderId="8" xfId="0" applyNumberFormat="1" applyFont="1" applyFill="1" applyBorder="1" applyAlignment="1">
      <alignment horizontal="center" vertical="center"/>
    </xf>
    <xf numFmtId="2" fontId="29" fillId="17" borderId="9" xfId="0" applyNumberFormat="1" applyFont="1" applyFill="1" applyBorder="1" applyAlignment="1">
      <alignment horizontal="center" vertical="center"/>
    </xf>
    <xf numFmtId="2" fontId="29" fillId="17" borderId="10" xfId="0" applyNumberFormat="1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2" fontId="17" fillId="15" borderId="29" xfId="0" applyNumberFormat="1" applyFont="1" applyFill="1" applyBorder="1" applyAlignment="1">
      <alignment horizontal="center" vertical="center" wrapText="1"/>
    </xf>
    <xf numFmtId="2" fontId="17" fillId="15" borderId="23" xfId="0" applyNumberFormat="1" applyFont="1" applyFill="1" applyBorder="1" applyAlignment="1">
      <alignment horizontal="center" vertical="center" wrapText="1"/>
    </xf>
    <xf numFmtId="2" fontId="17" fillId="15" borderId="30" xfId="0" applyNumberFormat="1" applyFont="1" applyFill="1" applyBorder="1" applyAlignment="1">
      <alignment horizontal="center" vertical="center" wrapText="1"/>
    </xf>
    <xf numFmtId="2" fontId="17" fillId="15" borderId="40" xfId="0" applyNumberFormat="1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11" borderId="29" xfId="0" applyFont="1" applyFill="1" applyBorder="1" applyAlignment="1">
      <alignment horizontal="center" vertical="center" wrapText="1"/>
    </xf>
    <xf numFmtId="0" fontId="8" fillId="11" borderId="23" xfId="0" applyFont="1" applyFill="1" applyBorder="1" applyAlignment="1">
      <alignment horizontal="center" vertical="center" wrapText="1"/>
    </xf>
    <xf numFmtId="1" fontId="8" fillId="2" borderId="29" xfId="0" applyNumberFormat="1" applyFont="1" applyFill="1" applyBorder="1" applyAlignment="1">
      <alignment horizontal="center" vertical="center" wrapText="1"/>
    </xf>
    <xf numFmtId="1" fontId="8" fillId="2" borderId="23" xfId="0" applyNumberFormat="1" applyFont="1" applyFill="1" applyBorder="1" applyAlignment="1">
      <alignment horizontal="center" vertical="center" wrapText="1"/>
    </xf>
    <xf numFmtId="49" fontId="19" fillId="0" borderId="20" xfId="0" applyNumberFormat="1" applyFont="1" applyBorder="1" applyAlignment="1">
      <alignment horizontal="center" vertical="center"/>
    </xf>
    <xf numFmtId="49" fontId="19" fillId="0" borderId="21" xfId="0" applyNumberFormat="1" applyFont="1" applyBorder="1" applyAlignment="1">
      <alignment horizontal="center" vertical="center"/>
    </xf>
    <xf numFmtId="49" fontId="19" fillId="0" borderId="33" xfId="0" applyNumberFormat="1" applyFont="1" applyBorder="1" applyAlignment="1">
      <alignment horizontal="center" vertical="center"/>
    </xf>
    <xf numFmtId="49" fontId="21" fillId="0" borderId="20" xfId="0" applyNumberFormat="1" applyFont="1" applyBorder="1" applyAlignment="1">
      <alignment horizontal="center" vertical="center"/>
    </xf>
    <xf numFmtId="49" fontId="21" fillId="0" borderId="21" xfId="0" applyNumberFormat="1" applyFont="1" applyBorder="1" applyAlignment="1">
      <alignment horizontal="center" vertical="center"/>
    </xf>
    <xf numFmtId="49" fontId="21" fillId="0" borderId="33" xfId="0" applyNumberFormat="1" applyFont="1" applyBorder="1" applyAlignment="1">
      <alignment horizontal="center" vertical="center"/>
    </xf>
    <xf numFmtId="49" fontId="19" fillId="0" borderId="37" xfId="0" applyNumberFormat="1" applyFont="1" applyBorder="1" applyAlignment="1">
      <alignment horizontal="center" vertical="center"/>
    </xf>
    <xf numFmtId="49" fontId="19" fillId="0" borderId="38" xfId="0" applyNumberFormat="1" applyFont="1" applyBorder="1" applyAlignment="1">
      <alignment horizontal="center" vertical="center"/>
    </xf>
  </cellXfs>
  <cellStyles count="3">
    <cellStyle name="Normal" xfId="0" builtinId="0"/>
    <cellStyle name="Normal 2 2" xfId="1" xr:uid="{00000000-0005-0000-0000-000001000000}"/>
    <cellStyle name="Porcentaje" xfId="2" builtinId="5"/>
  </cellStyles>
  <dxfs count="0"/>
  <tableStyles count="0" defaultTableStyle="TableStyleMedium2" defaultPivotStyle="PivotStyleLight16"/>
  <colors>
    <mruColors>
      <color rgb="FFE7EE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0"/>
  <sheetViews>
    <sheetView tabSelected="1" zoomScale="80" zoomScaleNormal="80" workbookViewId="0">
      <pane ySplit="4" topLeftCell="A5" activePane="bottomLeft" state="frozen"/>
      <selection activeCell="I1" sqref="I1"/>
      <selection pane="bottomLeft" activeCell="BD15" sqref="BD15"/>
    </sheetView>
  </sheetViews>
  <sheetFormatPr baseColWidth="10" defaultColWidth="0" defaultRowHeight="0" customHeight="1" zeroHeight="1" x14ac:dyDescent="0.25"/>
  <cols>
    <col min="1" max="1" width="3.42578125" style="90" customWidth="1"/>
    <col min="2" max="2" width="25.5703125" style="81" customWidth="1"/>
    <col min="3" max="3" width="20.28515625" style="81" customWidth="1"/>
    <col min="4" max="4" width="10.140625" style="81" customWidth="1"/>
    <col min="5" max="5" width="12.7109375" style="81" customWidth="1"/>
    <col min="6" max="6" width="25.140625" style="81" customWidth="1"/>
    <col min="7" max="7" width="14.42578125" style="81" customWidth="1"/>
    <col min="8" max="8" width="25.5703125" style="81" customWidth="1"/>
    <col min="9" max="9" width="19.5703125" style="81" customWidth="1"/>
    <col min="10" max="10" width="13.28515625" style="81" customWidth="1"/>
    <col min="11" max="11" width="7.28515625" style="81" customWidth="1"/>
    <col min="12" max="12" width="14.28515625" style="81" customWidth="1"/>
    <col min="13" max="13" width="13.85546875" style="81" customWidth="1"/>
    <col min="14" max="14" width="13.7109375" style="81" customWidth="1"/>
    <col min="15" max="15" width="11.5703125" style="81" customWidth="1"/>
    <col min="16" max="16" width="7.28515625" style="81" customWidth="1"/>
    <col min="17" max="17" width="11.7109375" style="81" customWidth="1"/>
    <col min="18" max="18" width="11.7109375" style="82" customWidth="1"/>
    <col min="19" max="19" width="12.42578125" style="81" customWidth="1"/>
    <col min="20" max="20" width="9.28515625" style="81" customWidth="1"/>
    <col min="21" max="21" width="19.42578125" style="81" customWidth="1"/>
    <col min="22" max="22" width="9" style="81" customWidth="1"/>
    <col min="23" max="23" width="9.140625" style="81" customWidth="1"/>
    <col min="24" max="24" width="12.5703125" style="81" customWidth="1"/>
    <col min="25" max="25" width="15.28515625" style="81" customWidth="1"/>
    <col min="26" max="26" width="12.5703125" style="81" customWidth="1"/>
    <col min="27" max="27" width="14.42578125" style="81" customWidth="1"/>
    <col min="28" max="28" width="11" style="82" customWidth="1"/>
    <col min="29" max="31" width="5.7109375" style="83" customWidth="1"/>
    <col min="32" max="32" width="16" style="84" customWidth="1"/>
    <col min="33" max="36" width="11.7109375" style="81" customWidth="1"/>
    <col min="37" max="37" width="12.7109375" style="81" customWidth="1"/>
    <col min="38" max="38" width="12.7109375" style="85" customWidth="1"/>
    <col min="39" max="40" width="12.7109375" style="81" customWidth="1"/>
    <col min="41" max="41" width="12.7109375" style="82" customWidth="1"/>
    <col min="42" max="42" width="12.7109375" style="81" customWidth="1"/>
    <col min="43" max="43" width="12.7109375" style="82" customWidth="1"/>
    <col min="44" max="50" width="12.7109375" style="81" customWidth="1"/>
    <col min="51" max="51" width="31.28515625" style="81" customWidth="1"/>
    <col min="52" max="52" width="12.7109375" style="81" customWidth="1"/>
    <col min="53" max="53" width="12.7109375" style="82" customWidth="1"/>
    <col min="54" max="54" width="20" style="82" customWidth="1"/>
    <col min="55" max="55" width="12.7109375" style="81" customWidth="1"/>
    <col min="56" max="56" width="32.7109375" style="81" customWidth="1"/>
    <col min="57" max="57" width="26.42578125" style="81" hidden="1" customWidth="1"/>
    <col min="58" max="16384" width="50.140625" style="81" hidden="1"/>
  </cols>
  <sheetData>
    <row r="1" spans="1:58" s="131" customFormat="1" ht="27.75" customHeight="1" thickBot="1" x14ac:dyDescent="0.3">
      <c r="A1" s="159"/>
      <c r="B1" s="223" t="s">
        <v>2373</v>
      </c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AB1" s="132"/>
      <c r="AC1" s="133"/>
      <c r="AD1" s="133"/>
      <c r="AE1" s="133"/>
      <c r="AF1" s="134"/>
      <c r="AK1" s="272" t="s">
        <v>2353</v>
      </c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3"/>
      <c r="BB1" s="273"/>
      <c r="BC1" s="274"/>
      <c r="BD1" s="171"/>
    </row>
    <row r="2" spans="1:58" s="4" customFormat="1" ht="27.75" customHeight="1" thickBot="1" x14ac:dyDescent="0.3">
      <c r="A2" s="89"/>
      <c r="B2" s="211" t="s">
        <v>1657</v>
      </c>
      <c r="C2" s="212"/>
      <c r="D2" s="212"/>
      <c r="E2" s="212"/>
      <c r="F2" s="212"/>
      <c r="G2" s="212"/>
      <c r="H2" s="87" t="s">
        <v>2067</v>
      </c>
      <c r="I2" s="213" t="s">
        <v>1769</v>
      </c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4"/>
      <c r="V2" s="275" t="s">
        <v>2273</v>
      </c>
      <c r="W2" s="276"/>
      <c r="X2" s="276"/>
      <c r="Y2" s="276"/>
      <c r="Z2" s="277"/>
      <c r="AA2" s="215" t="s">
        <v>2272</v>
      </c>
      <c r="AB2" s="216"/>
      <c r="AC2" s="216"/>
      <c r="AD2" s="216"/>
      <c r="AE2" s="217"/>
      <c r="AF2" s="215" t="s">
        <v>2271</v>
      </c>
      <c r="AG2" s="216"/>
      <c r="AH2" s="216"/>
      <c r="AI2" s="216"/>
      <c r="AJ2" s="216"/>
      <c r="AK2" s="218" t="s">
        <v>2274</v>
      </c>
      <c r="AL2" s="219"/>
      <c r="AM2" s="219"/>
      <c r="AN2" s="219"/>
      <c r="AO2" s="219"/>
      <c r="AP2" s="219"/>
      <c r="AQ2" s="220"/>
      <c r="AR2" s="221"/>
      <c r="AS2" s="221"/>
      <c r="AT2" s="221"/>
      <c r="AU2" s="221"/>
      <c r="AV2" s="221"/>
      <c r="AW2" s="221"/>
      <c r="AX2" s="221"/>
      <c r="AY2" s="221"/>
      <c r="AZ2" s="221"/>
      <c r="BA2" s="221"/>
      <c r="BB2" s="221"/>
      <c r="BC2" s="222"/>
      <c r="BD2" s="172"/>
    </row>
    <row r="3" spans="1:58" s="4" customFormat="1" ht="33" customHeight="1" x14ac:dyDescent="0.25">
      <c r="A3" s="89"/>
      <c r="B3" s="226" t="s">
        <v>1711</v>
      </c>
      <c r="C3" s="228" t="s">
        <v>1712</v>
      </c>
      <c r="D3" s="228" t="s">
        <v>1145</v>
      </c>
      <c r="E3" s="228" t="s">
        <v>1146</v>
      </c>
      <c r="F3" s="228" t="s">
        <v>2032</v>
      </c>
      <c r="G3" s="230" t="s">
        <v>1147</v>
      </c>
      <c r="H3" s="232" t="s">
        <v>2094</v>
      </c>
      <c r="I3" s="234" t="s">
        <v>1631</v>
      </c>
      <c r="J3" s="236" t="s">
        <v>1</v>
      </c>
      <c r="K3" s="236" t="s">
        <v>1049</v>
      </c>
      <c r="L3" s="238" t="s">
        <v>2270</v>
      </c>
      <c r="M3" s="224" t="s">
        <v>2097</v>
      </c>
      <c r="N3" s="242" t="s">
        <v>2096</v>
      </c>
      <c r="O3" s="242" t="s">
        <v>2095</v>
      </c>
      <c r="P3" s="242" t="s">
        <v>1621</v>
      </c>
      <c r="Q3" s="242" t="s">
        <v>1652</v>
      </c>
      <c r="R3" s="244" t="s">
        <v>1653</v>
      </c>
      <c r="S3" s="242" t="s">
        <v>2077</v>
      </c>
      <c r="T3" s="242" t="s">
        <v>2078</v>
      </c>
      <c r="U3" s="246" t="s">
        <v>1630</v>
      </c>
      <c r="V3" s="248" t="s">
        <v>1659</v>
      </c>
      <c r="W3" s="250" t="s">
        <v>2099</v>
      </c>
      <c r="X3" s="250" t="s">
        <v>1660</v>
      </c>
      <c r="Y3" s="240" t="s">
        <v>2098</v>
      </c>
      <c r="Z3" s="254" t="s">
        <v>2068</v>
      </c>
      <c r="AA3" s="256" t="s">
        <v>2100</v>
      </c>
      <c r="AB3" s="258" t="s">
        <v>2081</v>
      </c>
      <c r="AC3" s="260" t="s">
        <v>1754</v>
      </c>
      <c r="AD3" s="260" t="s">
        <v>1755</v>
      </c>
      <c r="AE3" s="262" t="s">
        <v>1756</v>
      </c>
      <c r="AF3" s="264" t="s">
        <v>2101</v>
      </c>
      <c r="AG3" s="250" t="s">
        <v>1658</v>
      </c>
      <c r="AH3" s="250" t="s">
        <v>2102</v>
      </c>
      <c r="AI3" s="250" t="s">
        <v>2103</v>
      </c>
      <c r="AJ3" s="240" t="s">
        <v>2104</v>
      </c>
      <c r="AK3" s="252" t="s">
        <v>1625</v>
      </c>
      <c r="AL3" s="286" t="s">
        <v>2105</v>
      </c>
      <c r="AM3" s="250" t="s">
        <v>1663</v>
      </c>
      <c r="AN3" s="250" t="s">
        <v>2069</v>
      </c>
      <c r="AO3" s="266" t="s">
        <v>2106</v>
      </c>
      <c r="AP3" s="240" t="s">
        <v>2107</v>
      </c>
      <c r="AQ3" s="268" t="s">
        <v>2108</v>
      </c>
      <c r="AR3" s="284" t="s">
        <v>2112</v>
      </c>
      <c r="AS3" s="284" t="s">
        <v>2109</v>
      </c>
      <c r="AT3" s="284" t="s">
        <v>2070</v>
      </c>
      <c r="AU3" s="284" t="s">
        <v>2111</v>
      </c>
      <c r="AV3" s="284" t="s">
        <v>2071</v>
      </c>
      <c r="AW3" s="278" t="s">
        <v>2072</v>
      </c>
      <c r="AX3" s="278" t="s">
        <v>2073</v>
      </c>
      <c r="AY3" s="280" t="s">
        <v>2110</v>
      </c>
      <c r="AZ3" s="248" t="s">
        <v>1662</v>
      </c>
      <c r="BA3" s="266" t="s">
        <v>2113</v>
      </c>
      <c r="BB3" s="266" t="s">
        <v>1646</v>
      </c>
      <c r="BC3" s="282" t="s">
        <v>2074</v>
      </c>
      <c r="BD3" s="270" t="s">
        <v>2045</v>
      </c>
    </row>
    <row r="4" spans="1:58" s="3" customFormat="1" ht="33" customHeight="1" thickBot="1" x14ac:dyDescent="0.3">
      <c r="A4" s="88"/>
      <c r="B4" s="227"/>
      <c r="C4" s="229"/>
      <c r="D4" s="229"/>
      <c r="E4" s="229"/>
      <c r="F4" s="229"/>
      <c r="G4" s="231"/>
      <c r="H4" s="233"/>
      <c r="I4" s="235"/>
      <c r="J4" s="237"/>
      <c r="K4" s="237"/>
      <c r="L4" s="239"/>
      <c r="M4" s="225"/>
      <c r="N4" s="243"/>
      <c r="O4" s="243"/>
      <c r="P4" s="243"/>
      <c r="Q4" s="243"/>
      <c r="R4" s="245"/>
      <c r="S4" s="243"/>
      <c r="T4" s="243"/>
      <c r="U4" s="247"/>
      <c r="V4" s="249"/>
      <c r="W4" s="251"/>
      <c r="X4" s="251"/>
      <c r="Y4" s="241"/>
      <c r="Z4" s="255"/>
      <c r="AA4" s="257"/>
      <c r="AB4" s="259"/>
      <c r="AC4" s="261"/>
      <c r="AD4" s="261"/>
      <c r="AE4" s="263"/>
      <c r="AF4" s="265"/>
      <c r="AG4" s="251"/>
      <c r="AH4" s="251"/>
      <c r="AI4" s="251"/>
      <c r="AJ4" s="241"/>
      <c r="AK4" s="253"/>
      <c r="AL4" s="287"/>
      <c r="AM4" s="251"/>
      <c r="AN4" s="251"/>
      <c r="AO4" s="267"/>
      <c r="AP4" s="241"/>
      <c r="AQ4" s="269"/>
      <c r="AR4" s="285"/>
      <c r="AS4" s="285"/>
      <c r="AT4" s="285"/>
      <c r="AU4" s="285"/>
      <c r="AV4" s="285"/>
      <c r="AW4" s="279"/>
      <c r="AX4" s="279"/>
      <c r="AY4" s="281"/>
      <c r="AZ4" s="249"/>
      <c r="BA4" s="267"/>
      <c r="BB4" s="267"/>
      <c r="BC4" s="283"/>
      <c r="BD4" s="271"/>
    </row>
    <row r="5" spans="1:58" s="3" customFormat="1" ht="27.75" customHeight="1" x14ac:dyDescent="0.25">
      <c r="A5" s="88"/>
      <c r="B5" s="123" t="s">
        <v>1476</v>
      </c>
      <c r="C5" s="109" t="str">
        <f>IF(B5=0,"",VLOOKUP(B5,DATOS!$H$2:$K$50,2,FALSE))</f>
        <v>Región de Ñuble - Centro de Semillas, Genética y Entomología</v>
      </c>
      <c r="D5" s="109" t="str">
        <f>IF(B5=0,"",VLOOKUP(B5,DATOS!$H$2:$L$49,3,FALSE))</f>
        <v>Diguillin</v>
      </c>
      <c r="E5" s="109" t="str">
        <f>IF(B5=0,"",VLOOKUP(B5,DATOS!$H$2:$M$49,4,FALSE))</f>
        <v>Chillán</v>
      </c>
      <c r="F5" s="124" t="s">
        <v>2264</v>
      </c>
      <c r="G5" s="125" t="s">
        <v>2266</v>
      </c>
      <c r="H5" s="127" t="s">
        <v>2057</v>
      </c>
      <c r="I5" s="200" t="s">
        <v>2262</v>
      </c>
      <c r="J5" s="201" t="str">
        <f>IF(I5=0,"",VLOOKUP(I5,DATOS!$B$2:$D$891,2,FALSE))</f>
        <v>Zinnia sp.</v>
      </c>
      <c r="K5" s="201" t="str">
        <f>IF(I5=0,"",VLOOKUP(I5,DATOS!$B$2:$D$891,3,FALSE))</f>
        <v>Exótico</v>
      </c>
      <c r="L5" s="202" t="s">
        <v>2046</v>
      </c>
      <c r="M5" s="144">
        <v>45911</v>
      </c>
      <c r="N5" s="109" t="s">
        <v>2269</v>
      </c>
      <c r="O5" s="109" t="s">
        <v>1274</v>
      </c>
      <c r="P5" s="111">
        <v>18</v>
      </c>
      <c r="Q5" s="112">
        <v>680444</v>
      </c>
      <c r="R5" s="112">
        <v>5708084</v>
      </c>
      <c r="S5" s="112">
        <v>1000</v>
      </c>
      <c r="T5" s="109" t="s">
        <v>1654</v>
      </c>
      <c r="U5" s="110" t="s">
        <v>1607</v>
      </c>
      <c r="V5" s="108" t="s">
        <v>1736</v>
      </c>
      <c r="W5" s="109" t="s">
        <v>1650</v>
      </c>
      <c r="X5" s="109" t="s">
        <v>1751</v>
      </c>
      <c r="Y5" s="110" t="s">
        <v>1745</v>
      </c>
      <c r="Z5" s="129">
        <v>10000</v>
      </c>
      <c r="AA5" s="116" t="s">
        <v>1748</v>
      </c>
      <c r="AB5" s="112">
        <v>5000</v>
      </c>
      <c r="AC5" s="109">
        <v>0.9</v>
      </c>
      <c r="AD5" s="109">
        <v>0.8</v>
      </c>
      <c r="AE5" s="121">
        <v>0.9</v>
      </c>
      <c r="AF5" s="146">
        <v>2.92</v>
      </c>
      <c r="AG5" s="109" t="s">
        <v>1654</v>
      </c>
      <c r="AH5" s="148">
        <v>46266</v>
      </c>
      <c r="AI5" s="109" t="s">
        <v>1766</v>
      </c>
      <c r="AJ5" s="110" t="s">
        <v>2080</v>
      </c>
      <c r="AK5" s="108" t="s">
        <v>1627</v>
      </c>
      <c r="AL5" s="111">
        <v>5</v>
      </c>
      <c r="AM5" s="109" t="s">
        <v>2082</v>
      </c>
      <c r="AN5" s="109" t="s">
        <v>2083</v>
      </c>
      <c r="AO5" s="112">
        <v>2</v>
      </c>
      <c r="AP5" s="110" t="s">
        <v>1650</v>
      </c>
      <c r="AQ5" s="113">
        <v>100</v>
      </c>
      <c r="AR5" s="140">
        <v>45981</v>
      </c>
      <c r="AS5" s="140">
        <v>45960</v>
      </c>
      <c r="AT5" s="142">
        <v>0.9</v>
      </c>
      <c r="AU5" s="140">
        <v>46037</v>
      </c>
      <c r="AV5" s="142">
        <v>0.95</v>
      </c>
      <c r="AW5" s="114">
        <v>0.5</v>
      </c>
      <c r="AX5" s="114">
        <v>0.5</v>
      </c>
      <c r="AY5" s="115" t="s">
        <v>2035</v>
      </c>
      <c r="AZ5" s="144">
        <v>46052</v>
      </c>
      <c r="BA5" s="112">
        <v>4000</v>
      </c>
      <c r="BB5" s="117">
        <v>2500</v>
      </c>
      <c r="BC5" s="118">
        <f>IFERROR(IF(BA5&lt;=0, 0,IF(BA5=0,0,(1-BB5/BA5))),0)</f>
        <v>0.375</v>
      </c>
      <c r="BD5" s="119"/>
      <c r="BF5" s="5"/>
    </row>
    <row r="6" spans="1:58" s="3" customFormat="1" ht="27.75" customHeight="1" x14ac:dyDescent="0.25">
      <c r="A6" s="88"/>
      <c r="B6" s="126" t="s">
        <v>1449</v>
      </c>
      <c r="C6" s="95" t="str">
        <f>IF(B6=0,"",VLOOKUP(B6,DATOS!$H$2:$K$50,2,FALSE))</f>
        <v>Región de Tarapacá</v>
      </c>
      <c r="D6" s="95" t="str">
        <f>IF(B6=0,"",VLOOKUP(B6,DATOS!$H$2:$L$49,3,FALSE))</f>
        <v>Tamarugal</v>
      </c>
      <c r="E6" s="95" t="str">
        <f>IF(B6=0,"",VLOOKUP(B6,DATOS!$H$2:$M$49,4,FALSE))</f>
        <v>Pozo Almonte</v>
      </c>
      <c r="F6" s="96" t="s">
        <v>2263</v>
      </c>
      <c r="G6" s="120" t="s">
        <v>2267</v>
      </c>
      <c r="H6" s="128" t="s">
        <v>2048</v>
      </c>
      <c r="I6" s="197"/>
      <c r="J6" s="199" t="str">
        <f>IF(I6=0,"",VLOOKUP(I6,DATOS!$B$2:$D$891,2,FALSE))</f>
        <v/>
      </c>
      <c r="K6" s="199" t="str">
        <f>IF(I6=0,"",VLOOKUP(I6,DATOS!$B$2:$D$891,3,FALSE))</f>
        <v/>
      </c>
      <c r="L6" s="198"/>
      <c r="M6" s="145"/>
      <c r="N6" s="95"/>
      <c r="O6" s="95"/>
      <c r="P6" s="97"/>
      <c r="Q6" s="98"/>
      <c r="R6" s="98"/>
      <c r="S6" s="98"/>
      <c r="T6" s="95" t="s">
        <v>1765</v>
      </c>
      <c r="U6" s="102"/>
      <c r="V6" s="103"/>
      <c r="W6" s="95"/>
      <c r="X6" s="95"/>
      <c r="Y6" s="102"/>
      <c r="Z6" s="130"/>
      <c r="AA6" s="105"/>
      <c r="AB6" s="98"/>
      <c r="AC6" s="95"/>
      <c r="AD6" s="95"/>
      <c r="AE6" s="122"/>
      <c r="AF6" s="147"/>
      <c r="AG6" s="95"/>
      <c r="AH6" s="149"/>
      <c r="AI6" s="95"/>
      <c r="AJ6" s="102"/>
      <c r="AK6" s="103"/>
      <c r="AL6" s="97"/>
      <c r="AM6" s="95"/>
      <c r="AN6" s="95"/>
      <c r="AO6" s="98"/>
      <c r="AP6" s="102"/>
      <c r="AQ6" s="106"/>
      <c r="AR6" s="141"/>
      <c r="AS6" s="141"/>
      <c r="AT6" s="143"/>
      <c r="AU6" s="141"/>
      <c r="AV6" s="143"/>
      <c r="AW6" s="99"/>
      <c r="AX6" s="99"/>
      <c r="AY6" s="107"/>
      <c r="AZ6" s="145"/>
      <c r="BA6" s="98"/>
      <c r="BB6" s="100"/>
      <c r="BC6" s="104">
        <f>IFERROR(IF(BA6&lt;=0, 0,IF(BA6=0,0,(1-BB6/BA6))),0)</f>
        <v>0</v>
      </c>
      <c r="BD6" s="101"/>
    </row>
    <row r="7" spans="1:58" s="3" customFormat="1" ht="27.75" customHeight="1" x14ac:dyDescent="0.25">
      <c r="A7" s="88"/>
      <c r="B7" s="126" t="s">
        <v>1450</v>
      </c>
      <c r="C7" s="95" t="str">
        <f>IF(B7=0,"",VLOOKUP(B7,DATOS!$H$2:$K$50,2,FALSE))</f>
        <v>Región de Antofagasta</v>
      </c>
      <c r="D7" s="95" t="str">
        <f>IF(B7=0,"",VLOOKUP(B7,DATOS!$H$2:$L$49,3,FALSE))</f>
        <v>Antofagasta</v>
      </c>
      <c r="E7" s="95" t="str">
        <f>IF(B7=0,"",VLOOKUP(B7,DATOS!$H$2:$M$49,4,FALSE))</f>
        <v>Antofagasta</v>
      </c>
      <c r="F7" s="96" t="s">
        <v>2265</v>
      </c>
      <c r="G7" s="120" t="s">
        <v>2268</v>
      </c>
      <c r="H7" s="128" t="s">
        <v>2076</v>
      </c>
      <c r="I7" s="197"/>
      <c r="J7" s="199" t="str">
        <f>IF(I7=0,"",VLOOKUP(I7,DATOS!$B$2:$D$891,2,FALSE))</f>
        <v/>
      </c>
      <c r="K7" s="199" t="str">
        <f>IF(I7=0,"",VLOOKUP(I7,DATOS!$B$2:$D$891,3,FALSE))</f>
        <v/>
      </c>
      <c r="L7" s="198"/>
      <c r="M7" s="145"/>
      <c r="N7" s="95"/>
      <c r="O7" s="95"/>
      <c r="P7" s="97"/>
      <c r="Q7" s="98"/>
      <c r="R7" s="98"/>
      <c r="S7" s="98"/>
      <c r="T7" s="95"/>
      <c r="U7" s="102"/>
      <c r="V7" s="103"/>
      <c r="W7" s="95"/>
      <c r="X7" s="95"/>
      <c r="Y7" s="102"/>
      <c r="Z7" s="130"/>
      <c r="AA7" s="105"/>
      <c r="AB7" s="98"/>
      <c r="AC7" s="95"/>
      <c r="AD7" s="95"/>
      <c r="AE7" s="122"/>
      <c r="AF7" s="147"/>
      <c r="AG7" s="95"/>
      <c r="AH7" s="149"/>
      <c r="AI7" s="95"/>
      <c r="AJ7" s="102"/>
      <c r="AK7" s="103"/>
      <c r="AL7" s="97"/>
      <c r="AM7" s="95"/>
      <c r="AN7" s="95"/>
      <c r="AO7" s="98"/>
      <c r="AP7" s="102"/>
      <c r="AQ7" s="106"/>
      <c r="AR7" s="141"/>
      <c r="AS7" s="141"/>
      <c r="AT7" s="143"/>
      <c r="AU7" s="141"/>
      <c r="AV7" s="143"/>
      <c r="AW7" s="99"/>
      <c r="AX7" s="99"/>
      <c r="AY7" s="107"/>
      <c r="AZ7" s="145"/>
      <c r="BA7" s="98"/>
      <c r="BB7" s="100"/>
      <c r="BC7" s="104">
        <f t="shared" ref="BC7:BC10" si="0">IFERROR(IF(BA7&lt;=0, 0,IF(BA7=0,0,(1-BB7/BA7))),0)</f>
        <v>0</v>
      </c>
      <c r="BD7" s="101"/>
      <c r="BF7" s="6"/>
    </row>
    <row r="8" spans="1:58" s="3" customFormat="1" ht="27.75" customHeight="1" x14ac:dyDescent="0.25">
      <c r="A8" s="88"/>
      <c r="B8" s="126"/>
      <c r="C8" s="95" t="str">
        <f>IF(B8=0,"",VLOOKUP(B8,DATOS!$H$2:$K$50,2,FALSE))</f>
        <v/>
      </c>
      <c r="D8" s="95" t="str">
        <f>IF(B8=0,"",VLOOKUP(B8,DATOS!$H$2:$L$49,3,FALSE))</f>
        <v/>
      </c>
      <c r="E8" s="95" t="str">
        <f>IF(B8=0,"",VLOOKUP(B8,DATOS!$H$2:$M$49,4,FALSE))</f>
        <v/>
      </c>
      <c r="F8" s="96"/>
      <c r="G8" s="120"/>
      <c r="H8" s="128"/>
      <c r="I8" s="197"/>
      <c r="J8" s="199" t="str">
        <f>IF(I8=0,"",VLOOKUP(I8,DATOS!$B$2:$D$891,2,FALSE))</f>
        <v/>
      </c>
      <c r="K8" s="199" t="str">
        <f>IF(I8=0,"",VLOOKUP(I8,DATOS!$B$2:$D$891,3,FALSE))</f>
        <v/>
      </c>
      <c r="L8" s="198"/>
      <c r="M8" s="145"/>
      <c r="N8" s="95"/>
      <c r="O8" s="95"/>
      <c r="P8" s="97"/>
      <c r="Q8" s="98"/>
      <c r="R8" s="98"/>
      <c r="S8" s="98"/>
      <c r="T8" s="95"/>
      <c r="U8" s="102"/>
      <c r="V8" s="103"/>
      <c r="W8" s="95"/>
      <c r="X8" s="95"/>
      <c r="Y8" s="102"/>
      <c r="Z8" s="130"/>
      <c r="AA8" s="105"/>
      <c r="AB8" s="98"/>
      <c r="AC8" s="95"/>
      <c r="AD8" s="95"/>
      <c r="AE8" s="122"/>
      <c r="AF8" s="147"/>
      <c r="AG8" s="95"/>
      <c r="AH8" s="149"/>
      <c r="AI8" s="95"/>
      <c r="AJ8" s="102"/>
      <c r="AK8" s="103"/>
      <c r="AL8" s="97"/>
      <c r="AM8" s="95"/>
      <c r="AN8" s="95"/>
      <c r="AO8" s="98"/>
      <c r="AP8" s="102"/>
      <c r="AQ8" s="106"/>
      <c r="AR8" s="141"/>
      <c r="AS8" s="141"/>
      <c r="AT8" s="143"/>
      <c r="AU8" s="141"/>
      <c r="AV8" s="143"/>
      <c r="AW8" s="99"/>
      <c r="AX8" s="99"/>
      <c r="AY8" s="107"/>
      <c r="AZ8" s="145"/>
      <c r="BA8" s="98"/>
      <c r="BB8" s="100"/>
      <c r="BC8" s="104">
        <f t="shared" si="0"/>
        <v>0</v>
      </c>
      <c r="BD8" s="101"/>
    </row>
    <row r="9" spans="1:58" s="3" customFormat="1" ht="27.75" customHeight="1" x14ac:dyDescent="0.25">
      <c r="A9" s="88"/>
      <c r="B9" s="126"/>
      <c r="C9" s="95" t="str">
        <f>IF(B9=0,"",VLOOKUP(B9,DATOS!$H$2:$K$50,2,FALSE))</f>
        <v/>
      </c>
      <c r="D9" s="95" t="str">
        <f>IF(B9=0,"",VLOOKUP(B9,DATOS!$H$2:$L$49,3,FALSE))</f>
        <v/>
      </c>
      <c r="E9" s="95" t="str">
        <f>IF(B9=0,"",VLOOKUP(B9,DATOS!$H$2:$M$49,4,FALSE))</f>
        <v/>
      </c>
      <c r="F9" s="96"/>
      <c r="G9" s="120"/>
      <c r="H9" s="128"/>
      <c r="I9" s="197"/>
      <c r="J9" s="199" t="str">
        <f>IF(I9=0,"",VLOOKUP(I9,DATOS!$B$2:$D$891,2,FALSE))</f>
        <v/>
      </c>
      <c r="K9" s="199" t="str">
        <f>IF(I9=0,"",VLOOKUP(I9,DATOS!$B$2:$D$891,3,FALSE))</f>
        <v/>
      </c>
      <c r="L9" s="198"/>
      <c r="M9" s="145"/>
      <c r="N9" s="95"/>
      <c r="O9" s="95"/>
      <c r="P9" s="97"/>
      <c r="Q9" s="98"/>
      <c r="R9" s="98"/>
      <c r="S9" s="98"/>
      <c r="T9" s="95"/>
      <c r="U9" s="102"/>
      <c r="V9" s="103"/>
      <c r="W9" s="95"/>
      <c r="X9" s="95"/>
      <c r="Y9" s="102"/>
      <c r="Z9" s="130"/>
      <c r="AA9" s="105"/>
      <c r="AB9" s="98"/>
      <c r="AC9" s="95"/>
      <c r="AD9" s="95"/>
      <c r="AE9" s="122"/>
      <c r="AF9" s="147"/>
      <c r="AG9" s="95"/>
      <c r="AH9" s="149"/>
      <c r="AI9" s="95"/>
      <c r="AJ9" s="102"/>
      <c r="AK9" s="103"/>
      <c r="AL9" s="97"/>
      <c r="AM9" s="95"/>
      <c r="AN9" s="95"/>
      <c r="AO9" s="98"/>
      <c r="AP9" s="102"/>
      <c r="AQ9" s="106"/>
      <c r="AR9" s="141"/>
      <c r="AS9" s="141"/>
      <c r="AT9" s="143"/>
      <c r="AU9" s="141"/>
      <c r="AV9" s="143"/>
      <c r="AW9" s="99"/>
      <c r="AX9" s="99"/>
      <c r="AY9" s="107"/>
      <c r="AZ9" s="145"/>
      <c r="BA9" s="98"/>
      <c r="BB9" s="100"/>
      <c r="BC9" s="104">
        <f t="shared" si="0"/>
        <v>0</v>
      </c>
      <c r="BD9" s="101"/>
    </row>
    <row r="10" spans="1:58" s="3" customFormat="1" ht="27.75" customHeight="1" x14ac:dyDescent="0.25">
      <c r="A10" s="88"/>
      <c r="B10" s="126"/>
      <c r="C10" s="95" t="str">
        <f>IF(B10=0,"",VLOOKUP(B10,DATOS!$H$2:$K$50,2,FALSE))</f>
        <v/>
      </c>
      <c r="D10" s="95" t="str">
        <f>IF(B10=0,"",VLOOKUP(B10,DATOS!$H$2:$L$49,3,FALSE))</f>
        <v/>
      </c>
      <c r="E10" s="95" t="str">
        <f>IF(B10=0,"",VLOOKUP(B10,DATOS!$H$2:$M$49,4,FALSE))</f>
        <v/>
      </c>
      <c r="F10" s="96"/>
      <c r="G10" s="120"/>
      <c r="H10" s="128"/>
      <c r="I10" s="197"/>
      <c r="J10" s="199" t="str">
        <f>IF(I10=0,"",VLOOKUP(I10,DATOS!$B$2:$D$891,2,FALSE))</f>
        <v/>
      </c>
      <c r="K10" s="199" t="str">
        <f>IF(I10=0,"",VLOOKUP(I10,DATOS!$B$2:$D$891,3,FALSE))</f>
        <v/>
      </c>
      <c r="L10" s="198"/>
      <c r="M10" s="145"/>
      <c r="N10" s="95"/>
      <c r="O10" s="95"/>
      <c r="P10" s="97"/>
      <c r="Q10" s="98"/>
      <c r="R10" s="98"/>
      <c r="S10" s="98"/>
      <c r="T10" s="95"/>
      <c r="U10" s="102"/>
      <c r="V10" s="103"/>
      <c r="W10" s="95"/>
      <c r="X10" s="95"/>
      <c r="Y10" s="102"/>
      <c r="Z10" s="130"/>
      <c r="AA10" s="105"/>
      <c r="AB10" s="98"/>
      <c r="AC10" s="95"/>
      <c r="AD10" s="95"/>
      <c r="AE10" s="122"/>
      <c r="AF10" s="147"/>
      <c r="AG10" s="95"/>
      <c r="AH10" s="149"/>
      <c r="AI10" s="95"/>
      <c r="AJ10" s="102"/>
      <c r="AK10" s="103"/>
      <c r="AL10" s="97"/>
      <c r="AM10" s="95"/>
      <c r="AN10" s="95"/>
      <c r="AO10" s="98"/>
      <c r="AP10" s="102"/>
      <c r="AQ10" s="106"/>
      <c r="AR10" s="141"/>
      <c r="AS10" s="141"/>
      <c r="AT10" s="143"/>
      <c r="AU10" s="141"/>
      <c r="AV10" s="143"/>
      <c r="AW10" s="99"/>
      <c r="AX10" s="99"/>
      <c r="AY10" s="107"/>
      <c r="AZ10" s="145"/>
      <c r="BA10" s="98"/>
      <c r="BB10" s="100"/>
      <c r="BC10" s="104">
        <f t="shared" si="0"/>
        <v>0</v>
      </c>
      <c r="BD10" s="101"/>
    </row>
    <row r="11" spans="1:58" s="3" customFormat="1" ht="27.75" customHeight="1" x14ac:dyDescent="0.25">
      <c r="A11" s="88"/>
      <c r="B11" s="126"/>
      <c r="C11" s="95" t="str">
        <f>IF(B11=0,"",VLOOKUP(B11,DATOS!$H$2:$K$50,2,FALSE))</f>
        <v/>
      </c>
      <c r="D11" s="95" t="str">
        <f>IF(B11=0,"",VLOOKUP(B11,DATOS!$H$2:$L$49,3,FALSE))</f>
        <v/>
      </c>
      <c r="E11" s="95" t="str">
        <f>IF(B11=0,"",VLOOKUP(B11,DATOS!$H$2:$M$49,4,FALSE))</f>
        <v/>
      </c>
      <c r="F11" s="96"/>
      <c r="G11" s="120"/>
      <c r="H11" s="128"/>
      <c r="I11" s="197"/>
      <c r="J11" s="199" t="str">
        <f>IF(I11=0,"",VLOOKUP(I11,DATOS!$B$2:$D$891,2,FALSE))</f>
        <v/>
      </c>
      <c r="K11" s="199" t="str">
        <f>IF(I11=0,"",VLOOKUP(I11,DATOS!$B$2:$D$891,3,FALSE))</f>
        <v/>
      </c>
      <c r="L11" s="198"/>
      <c r="M11" s="145"/>
      <c r="N11" s="95"/>
      <c r="O11" s="95"/>
      <c r="P11" s="97"/>
      <c r="Q11" s="98"/>
      <c r="R11" s="98"/>
      <c r="S11" s="98"/>
      <c r="T11" s="95"/>
      <c r="U11" s="102"/>
      <c r="V11" s="103"/>
      <c r="W11" s="95"/>
      <c r="X11" s="95"/>
      <c r="Y11" s="102"/>
      <c r="Z11" s="130"/>
      <c r="AA11" s="105"/>
      <c r="AB11" s="98"/>
      <c r="AC11" s="95"/>
      <c r="AD11" s="95"/>
      <c r="AE11" s="122"/>
      <c r="AF11" s="147"/>
      <c r="AG11" s="95"/>
      <c r="AH11" s="149"/>
      <c r="AI11" s="95"/>
      <c r="AJ11" s="102"/>
      <c r="AK11" s="103"/>
      <c r="AL11" s="97"/>
      <c r="AM11" s="95"/>
      <c r="AN11" s="95"/>
      <c r="AO11" s="98"/>
      <c r="AP11" s="102"/>
      <c r="AQ11" s="106"/>
      <c r="AR11" s="141"/>
      <c r="AS11" s="141"/>
      <c r="AT11" s="143"/>
      <c r="AU11" s="141"/>
      <c r="AV11" s="143"/>
      <c r="AW11" s="99"/>
      <c r="AX11" s="99"/>
      <c r="AY11" s="107"/>
      <c r="AZ11" s="145"/>
      <c r="BA11" s="98"/>
      <c r="BB11" s="100"/>
      <c r="BC11" s="104">
        <f t="shared" ref="BC11:BC15" si="1">IFERROR(IF(BA11&lt;=0, 0,IF(BA11=0,0,(1-BB11/BA11))),0)</f>
        <v>0</v>
      </c>
      <c r="BD11" s="101"/>
    </row>
    <row r="12" spans="1:58" s="3" customFormat="1" ht="27.75" customHeight="1" x14ac:dyDescent="0.25">
      <c r="A12" s="88"/>
      <c r="B12" s="126"/>
      <c r="C12" s="95" t="str">
        <f>IF(B12=0,"",VLOOKUP(B12,DATOS!$H$2:$K$50,2,FALSE))</f>
        <v/>
      </c>
      <c r="D12" s="95" t="str">
        <f>IF(B12=0,"",VLOOKUP(B12,DATOS!$H$2:$L$49,3,FALSE))</f>
        <v/>
      </c>
      <c r="E12" s="95" t="str">
        <f>IF(B12=0,"",VLOOKUP(B12,DATOS!$H$2:$M$49,4,FALSE))</f>
        <v/>
      </c>
      <c r="F12" s="96"/>
      <c r="G12" s="120"/>
      <c r="H12" s="128"/>
      <c r="I12" s="197"/>
      <c r="J12" s="199" t="str">
        <f>IF(I12=0,"",VLOOKUP(I12,DATOS!$B$2:$D$891,2,FALSE))</f>
        <v/>
      </c>
      <c r="K12" s="199" t="str">
        <f>IF(I12=0,"",VLOOKUP(I12,DATOS!$B$2:$D$891,3,FALSE))</f>
        <v/>
      </c>
      <c r="L12" s="198"/>
      <c r="M12" s="145"/>
      <c r="N12" s="95"/>
      <c r="O12" s="95"/>
      <c r="P12" s="97"/>
      <c r="Q12" s="98"/>
      <c r="R12" s="98"/>
      <c r="S12" s="98"/>
      <c r="T12" s="95"/>
      <c r="U12" s="102"/>
      <c r="V12" s="103"/>
      <c r="W12" s="95"/>
      <c r="X12" s="95"/>
      <c r="Y12" s="102"/>
      <c r="Z12" s="130"/>
      <c r="AA12" s="105"/>
      <c r="AB12" s="98"/>
      <c r="AC12" s="95"/>
      <c r="AD12" s="95"/>
      <c r="AE12" s="122"/>
      <c r="AF12" s="147"/>
      <c r="AG12" s="95"/>
      <c r="AH12" s="149"/>
      <c r="AI12" s="95"/>
      <c r="AJ12" s="102"/>
      <c r="AK12" s="103"/>
      <c r="AL12" s="97"/>
      <c r="AM12" s="95"/>
      <c r="AN12" s="95"/>
      <c r="AO12" s="98"/>
      <c r="AP12" s="102"/>
      <c r="AQ12" s="106"/>
      <c r="AR12" s="141"/>
      <c r="AS12" s="141"/>
      <c r="AT12" s="143"/>
      <c r="AU12" s="141"/>
      <c r="AV12" s="143"/>
      <c r="AW12" s="99"/>
      <c r="AX12" s="99"/>
      <c r="AY12" s="107"/>
      <c r="AZ12" s="145"/>
      <c r="BA12" s="98"/>
      <c r="BB12" s="100"/>
      <c r="BC12" s="104">
        <f t="shared" si="1"/>
        <v>0</v>
      </c>
      <c r="BD12" s="101"/>
    </row>
    <row r="13" spans="1:58" s="3" customFormat="1" ht="27.75" customHeight="1" x14ac:dyDescent="0.25">
      <c r="A13" s="88"/>
      <c r="B13" s="126"/>
      <c r="C13" s="95" t="str">
        <f>IF(B13=0,"",VLOOKUP(B13,DATOS!$H$2:$K$50,2,FALSE))</f>
        <v/>
      </c>
      <c r="D13" s="95" t="str">
        <f>IF(B13=0,"",VLOOKUP(B13,DATOS!$H$2:$L$49,3,FALSE))</f>
        <v/>
      </c>
      <c r="E13" s="95" t="str">
        <f>IF(B13=0,"",VLOOKUP(B13,DATOS!$H$2:$M$49,4,FALSE))</f>
        <v/>
      </c>
      <c r="F13" s="96"/>
      <c r="G13" s="120"/>
      <c r="H13" s="128"/>
      <c r="I13" s="197"/>
      <c r="J13" s="199" t="str">
        <f>IF(I13=0,"",VLOOKUP(I13,DATOS!$B$2:$D$891,2,FALSE))</f>
        <v/>
      </c>
      <c r="K13" s="199" t="str">
        <f>IF(I13=0,"",VLOOKUP(I13,DATOS!$B$2:$D$891,3,FALSE))</f>
        <v/>
      </c>
      <c r="L13" s="198"/>
      <c r="M13" s="145"/>
      <c r="N13" s="95"/>
      <c r="O13" s="95"/>
      <c r="P13" s="97"/>
      <c r="Q13" s="98"/>
      <c r="R13" s="98"/>
      <c r="S13" s="98"/>
      <c r="T13" s="95"/>
      <c r="U13" s="102"/>
      <c r="V13" s="103"/>
      <c r="W13" s="95"/>
      <c r="X13" s="95"/>
      <c r="Y13" s="102"/>
      <c r="Z13" s="130"/>
      <c r="AA13" s="105"/>
      <c r="AB13" s="98"/>
      <c r="AC13" s="95"/>
      <c r="AD13" s="95"/>
      <c r="AE13" s="122"/>
      <c r="AF13" s="147"/>
      <c r="AG13" s="95"/>
      <c r="AH13" s="149"/>
      <c r="AI13" s="95"/>
      <c r="AJ13" s="102"/>
      <c r="AK13" s="103"/>
      <c r="AL13" s="97"/>
      <c r="AM13" s="95"/>
      <c r="AN13" s="95"/>
      <c r="AO13" s="98"/>
      <c r="AP13" s="102"/>
      <c r="AQ13" s="106"/>
      <c r="AR13" s="141"/>
      <c r="AS13" s="141"/>
      <c r="AT13" s="143"/>
      <c r="AU13" s="141"/>
      <c r="AV13" s="143"/>
      <c r="AW13" s="99"/>
      <c r="AX13" s="99"/>
      <c r="AY13" s="107"/>
      <c r="AZ13" s="145"/>
      <c r="BA13" s="98"/>
      <c r="BB13" s="100"/>
      <c r="BC13" s="104">
        <f t="shared" si="1"/>
        <v>0</v>
      </c>
      <c r="BD13" s="101"/>
    </row>
    <row r="14" spans="1:58" s="3" customFormat="1" ht="27.75" customHeight="1" x14ac:dyDescent="0.25">
      <c r="A14" s="88"/>
      <c r="B14" s="126"/>
      <c r="C14" s="95" t="str">
        <f>IF(B14=0,"",VLOOKUP(B14,DATOS!$H$2:$K$50,2,FALSE))</f>
        <v/>
      </c>
      <c r="D14" s="95" t="str">
        <f>IF(B14=0,"",VLOOKUP(B14,DATOS!$H$2:$L$49,3,FALSE))</f>
        <v/>
      </c>
      <c r="E14" s="95" t="str">
        <f>IF(B14=0,"",VLOOKUP(B14,DATOS!$H$2:$M$49,4,FALSE))</f>
        <v/>
      </c>
      <c r="F14" s="96"/>
      <c r="G14" s="120"/>
      <c r="H14" s="128"/>
      <c r="I14" s="197"/>
      <c r="J14" s="199" t="str">
        <f>IF(I14=0,"",VLOOKUP(I14,DATOS!$B$2:$D$891,2,FALSE))</f>
        <v/>
      </c>
      <c r="K14" s="199" t="str">
        <f>IF(I14=0,"",VLOOKUP(I14,DATOS!$B$2:$D$891,3,FALSE))</f>
        <v/>
      </c>
      <c r="L14" s="198"/>
      <c r="M14" s="145"/>
      <c r="N14" s="95"/>
      <c r="O14" s="95"/>
      <c r="P14" s="97"/>
      <c r="Q14" s="98"/>
      <c r="R14" s="98"/>
      <c r="S14" s="98"/>
      <c r="T14" s="95"/>
      <c r="U14" s="102"/>
      <c r="V14" s="103"/>
      <c r="W14" s="95"/>
      <c r="X14" s="95"/>
      <c r="Y14" s="102"/>
      <c r="Z14" s="130"/>
      <c r="AA14" s="105"/>
      <c r="AB14" s="98"/>
      <c r="AC14" s="95"/>
      <c r="AD14" s="95"/>
      <c r="AE14" s="122"/>
      <c r="AF14" s="147"/>
      <c r="AG14" s="95"/>
      <c r="AH14" s="149"/>
      <c r="AI14" s="95"/>
      <c r="AJ14" s="102"/>
      <c r="AK14" s="103"/>
      <c r="AL14" s="97"/>
      <c r="AM14" s="95"/>
      <c r="AN14" s="95"/>
      <c r="AO14" s="98"/>
      <c r="AP14" s="102"/>
      <c r="AQ14" s="106"/>
      <c r="AR14" s="141"/>
      <c r="AS14" s="141"/>
      <c r="AT14" s="143"/>
      <c r="AU14" s="141"/>
      <c r="AV14" s="143"/>
      <c r="AW14" s="99"/>
      <c r="AX14" s="99"/>
      <c r="AY14" s="107"/>
      <c r="AZ14" s="145"/>
      <c r="BA14" s="98"/>
      <c r="BB14" s="100"/>
      <c r="BC14" s="104">
        <f t="shared" si="1"/>
        <v>0</v>
      </c>
      <c r="BD14" s="101"/>
    </row>
    <row r="15" spans="1:58" s="3" customFormat="1" ht="27.75" customHeight="1" x14ac:dyDescent="0.25">
      <c r="A15" s="88"/>
      <c r="B15" s="126"/>
      <c r="C15" s="95" t="str">
        <f>IF(B15=0,"",VLOOKUP(B15,DATOS!$H$2:$K$50,2,FALSE))</f>
        <v/>
      </c>
      <c r="D15" s="95" t="str">
        <f>IF(B15=0,"",VLOOKUP(B15,DATOS!$H$2:$L$49,3,FALSE))</f>
        <v/>
      </c>
      <c r="E15" s="95" t="str">
        <f>IF(B15=0,"",VLOOKUP(B15,DATOS!$H$2:$M$49,4,FALSE))</f>
        <v/>
      </c>
      <c r="F15" s="96"/>
      <c r="G15" s="120"/>
      <c r="H15" s="128"/>
      <c r="I15" s="197"/>
      <c r="J15" s="199" t="str">
        <f>IF(I15=0,"",VLOOKUP(I15,DATOS!$B$2:$D$891,2,FALSE))</f>
        <v/>
      </c>
      <c r="K15" s="199" t="str">
        <f>IF(I15=0,"",VLOOKUP(I15,DATOS!$B$2:$D$891,3,FALSE))</f>
        <v/>
      </c>
      <c r="L15" s="198"/>
      <c r="M15" s="145"/>
      <c r="N15" s="95"/>
      <c r="O15" s="95"/>
      <c r="P15" s="97"/>
      <c r="Q15" s="98"/>
      <c r="R15" s="98"/>
      <c r="S15" s="98"/>
      <c r="T15" s="95"/>
      <c r="U15" s="102"/>
      <c r="V15" s="103"/>
      <c r="W15" s="95"/>
      <c r="X15" s="95"/>
      <c r="Y15" s="102"/>
      <c r="Z15" s="130"/>
      <c r="AA15" s="105"/>
      <c r="AB15" s="98"/>
      <c r="AC15" s="95"/>
      <c r="AD15" s="95"/>
      <c r="AE15" s="122"/>
      <c r="AF15" s="147"/>
      <c r="AG15" s="95"/>
      <c r="AH15" s="149"/>
      <c r="AI15" s="95"/>
      <c r="AJ15" s="102"/>
      <c r="AK15" s="103"/>
      <c r="AL15" s="97"/>
      <c r="AM15" s="95"/>
      <c r="AN15" s="95"/>
      <c r="AO15" s="98"/>
      <c r="AP15" s="102"/>
      <c r="AQ15" s="106"/>
      <c r="AR15" s="141"/>
      <c r="AS15" s="141"/>
      <c r="AT15" s="143"/>
      <c r="AU15" s="141"/>
      <c r="AV15" s="143"/>
      <c r="AW15" s="99"/>
      <c r="AX15" s="99"/>
      <c r="AY15" s="107"/>
      <c r="AZ15" s="145"/>
      <c r="BA15" s="98"/>
      <c r="BB15" s="100"/>
      <c r="BC15" s="104">
        <f t="shared" si="1"/>
        <v>0</v>
      </c>
      <c r="BD15" s="101"/>
    </row>
    <row r="16" spans="1:58" s="3" customFormat="1" ht="27.75" customHeight="1" x14ac:dyDescent="0.25">
      <c r="A16" s="88"/>
      <c r="B16" s="126"/>
      <c r="C16" s="95" t="str">
        <f>IF(B16=0,"",VLOOKUP(B16,DATOS!$H$2:$K$50,2,FALSE))</f>
        <v/>
      </c>
      <c r="D16" s="95" t="str">
        <f>IF(B16=0,"",VLOOKUP(B16,DATOS!$H$2:$L$49,3,FALSE))</f>
        <v/>
      </c>
      <c r="E16" s="95" t="str">
        <f>IF(B16=0,"",VLOOKUP(B16,DATOS!$H$2:$M$49,4,FALSE))</f>
        <v/>
      </c>
      <c r="F16" s="96"/>
      <c r="G16" s="120"/>
      <c r="H16" s="128"/>
      <c r="I16" s="197"/>
      <c r="J16" s="199" t="str">
        <f>IF(I16=0,"",VLOOKUP(I16,DATOS!$B$2:$D$891,2,FALSE))</f>
        <v/>
      </c>
      <c r="K16" s="199" t="str">
        <f>IF(I16=0,"",VLOOKUP(I16,DATOS!$B$2:$D$891,3,FALSE))</f>
        <v/>
      </c>
      <c r="L16" s="198"/>
      <c r="M16" s="145"/>
      <c r="N16" s="95"/>
      <c r="O16" s="95"/>
      <c r="P16" s="97"/>
      <c r="Q16" s="98"/>
      <c r="R16" s="98"/>
      <c r="S16" s="98"/>
      <c r="T16" s="95"/>
      <c r="U16" s="102"/>
      <c r="V16" s="103"/>
      <c r="W16" s="95"/>
      <c r="X16" s="95"/>
      <c r="Y16" s="102"/>
      <c r="Z16" s="130"/>
      <c r="AA16" s="105"/>
      <c r="AB16" s="98"/>
      <c r="AC16" s="95"/>
      <c r="AD16" s="95"/>
      <c r="AE16" s="122"/>
      <c r="AF16" s="147"/>
      <c r="AG16" s="95"/>
      <c r="AH16" s="149"/>
      <c r="AI16" s="95"/>
      <c r="AJ16" s="102"/>
      <c r="AK16" s="103"/>
      <c r="AL16" s="97"/>
      <c r="AM16" s="95"/>
      <c r="AN16" s="95"/>
      <c r="AO16" s="98"/>
      <c r="AP16" s="102"/>
      <c r="AQ16" s="106"/>
      <c r="AR16" s="141"/>
      <c r="AS16" s="141"/>
      <c r="AT16" s="143"/>
      <c r="AU16" s="141"/>
      <c r="AV16" s="143"/>
      <c r="AW16" s="99"/>
      <c r="AX16" s="99"/>
      <c r="AY16" s="107"/>
      <c r="AZ16" s="145"/>
      <c r="BA16" s="98"/>
      <c r="BB16" s="100"/>
      <c r="BC16" s="104">
        <f t="shared" ref="BC16:BC32" si="2">IFERROR(IF(BA16&lt;=0, 0,IF(BA16=0,0,(1-BB16/BA16))),0)</f>
        <v>0</v>
      </c>
      <c r="BD16" s="101"/>
    </row>
    <row r="17" spans="1:56" s="3" customFormat="1" ht="27.75" customHeight="1" x14ac:dyDescent="0.25">
      <c r="A17" s="88"/>
      <c r="B17" s="126"/>
      <c r="C17" s="95" t="str">
        <f>IF(B17=0,"",VLOOKUP(B17,DATOS!$H$2:$K$50,2,FALSE))</f>
        <v/>
      </c>
      <c r="D17" s="95" t="str">
        <f>IF(B17=0,"",VLOOKUP(B17,DATOS!$H$2:$L$49,3,FALSE))</f>
        <v/>
      </c>
      <c r="E17" s="95" t="str">
        <f>IF(B17=0,"",VLOOKUP(B17,DATOS!$H$2:$M$49,4,FALSE))</f>
        <v/>
      </c>
      <c r="F17" s="96"/>
      <c r="G17" s="120"/>
      <c r="H17" s="128"/>
      <c r="I17" s="197"/>
      <c r="J17" s="199" t="str">
        <f>IF(I17=0,"",VLOOKUP(I17,DATOS!$B$2:$D$891,2,FALSE))</f>
        <v/>
      </c>
      <c r="K17" s="199" t="str">
        <f>IF(I17=0,"",VLOOKUP(I17,DATOS!$B$2:$D$891,3,FALSE))</f>
        <v/>
      </c>
      <c r="L17" s="198"/>
      <c r="M17" s="145"/>
      <c r="N17" s="95"/>
      <c r="O17" s="95"/>
      <c r="P17" s="97"/>
      <c r="Q17" s="98"/>
      <c r="R17" s="98"/>
      <c r="S17" s="98"/>
      <c r="T17" s="95"/>
      <c r="U17" s="102"/>
      <c r="V17" s="103"/>
      <c r="W17" s="95"/>
      <c r="X17" s="95"/>
      <c r="Y17" s="102"/>
      <c r="Z17" s="130"/>
      <c r="AA17" s="105"/>
      <c r="AB17" s="98"/>
      <c r="AC17" s="95"/>
      <c r="AD17" s="95"/>
      <c r="AE17" s="122"/>
      <c r="AF17" s="147"/>
      <c r="AG17" s="95"/>
      <c r="AH17" s="149"/>
      <c r="AI17" s="95"/>
      <c r="AJ17" s="102"/>
      <c r="AK17" s="103"/>
      <c r="AL17" s="97"/>
      <c r="AM17" s="95"/>
      <c r="AN17" s="95"/>
      <c r="AO17" s="98"/>
      <c r="AP17" s="102"/>
      <c r="AQ17" s="106"/>
      <c r="AR17" s="141"/>
      <c r="AS17" s="141"/>
      <c r="AT17" s="143"/>
      <c r="AU17" s="141"/>
      <c r="AV17" s="143"/>
      <c r="AW17" s="99"/>
      <c r="AX17" s="99"/>
      <c r="AY17" s="107"/>
      <c r="AZ17" s="145"/>
      <c r="BA17" s="98"/>
      <c r="BB17" s="100"/>
      <c r="BC17" s="104">
        <f t="shared" si="2"/>
        <v>0</v>
      </c>
      <c r="BD17" s="101"/>
    </row>
    <row r="18" spans="1:56" s="3" customFormat="1" ht="27.75" customHeight="1" x14ac:dyDescent="0.25">
      <c r="A18" s="88"/>
      <c r="B18" s="126"/>
      <c r="C18" s="95" t="str">
        <f>IF(B18=0,"",VLOOKUP(B18,DATOS!$H$2:$K$50,2,FALSE))</f>
        <v/>
      </c>
      <c r="D18" s="95" t="str">
        <f>IF(B18=0,"",VLOOKUP(B18,DATOS!$H$2:$L$49,3,FALSE))</f>
        <v/>
      </c>
      <c r="E18" s="95" t="str">
        <f>IF(B18=0,"",VLOOKUP(B18,DATOS!$H$2:$M$49,4,FALSE))</f>
        <v/>
      </c>
      <c r="F18" s="96"/>
      <c r="G18" s="120"/>
      <c r="H18" s="128"/>
      <c r="I18" s="197"/>
      <c r="J18" s="199" t="str">
        <f>IF(I18=0,"",VLOOKUP(I18,DATOS!$B$2:$D$891,2,FALSE))</f>
        <v/>
      </c>
      <c r="K18" s="199" t="str">
        <f>IF(I18=0,"",VLOOKUP(I18,DATOS!$B$2:$D$891,3,FALSE))</f>
        <v/>
      </c>
      <c r="L18" s="198"/>
      <c r="M18" s="145"/>
      <c r="N18" s="95"/>
      <c r="O18" s="95"/>
      <c r="P18" s="97"/>
      <c r="Q18" s="98"/>
      <c r="R18" s="98"/>
      <c r="S18" s="98"/>
      <c r="T18" s="95"/>
      <c r="U18" s="102"/>
      <c r="V18" s="103"/>
      <c r="W18" s="95"/>
      <c r="X18" s="95"/>
      <c r="Y18" s="102"/>
      <c r="Z18" s="130"/>
      <c r="AA18" s="105"/>
      <c r="AB18" s="98"/>
      <c r="AC18" s="95"/>
      <c r="AD18" s="95"/>
      <c r="AE18" s="122"/>
      <c r="AF18" s="147"/>
      <c r="AG18" s="95"/>
      <c r="AH18" s="149"/>
      <c r="AI18" s="95"/>
      <c r="AJ18" s="102"/>
      <c r="AK18" s="103"/>
      <c r="AL18" s="97"/>
      <c r="AM18" s="95"/>
      <c r="AN18" s="95"/>
      <c r="AO18" s="98"/>
      <c r="AP18" s="102"/>
      <c r="AQ18" s="106"/>
      <c r="AR18" s="141"/>
      <c r="AS18" s="141"/>
      <c r="AT18" s="143"/>
      <c r="AU18" s="141"/>
      <c r="AV18" s="143"/>
      <c r="AW18" s="99"/>
      <c r="AX18" s="99"/>
      <c r="AY18" s="107"/>
      <c r="AZ18" s="145"/>
      <c r="BA18" s="98"/>
      <c r="BB18" s="100"/>
      <c r="BC18" s="104">
        <f t="shared" si="2"/>
        <v>0</v>
      </c>
      <c r="BD18" s="101"/>
    </row>
    <row r="19" spans="1:56" s="3" customFormat="1" ht="27.75" customHeight="1" x14ac:dyDescent="0.25">
      <c r="A19" s="88"/>
      <c r="B19" s="126"/>
      <c r="C19" s="95" t="str">
        <f>IF(B19=0,"",VLOOKUP(B19,DATOS!$H$2:$K$50,2,FALSE))</f>
        <v/>
      </c>
      <c r="D19" s="95" t="str">
        <f>IF(B19=0,"",VLOOKUP(B19,DATOS!$H$2:$L$49,3,FALSE))</f>
        <v/>
      </c>
      <c r="E19" s="95" t="str">
        <f>IF(B19=0,"",VLOOKUP(B19,DATOS!$H$2:$M$49,4,FALSE))</f>
        <v/>
      </c>
      <c r="F19" s="96"/>
      <c r="G19" s="120"/>
      <c r="H19" s="128"/>
      <c r="I19" s="197"/>
      <c r="J19" s="199" t="str">
        <f>IF(I19=0,"",VLOOKUP(I19,DATOS!$B$2:$D$891,2,FALSE))</f>
        <v/>
      </c>
      <c r="K19" s="199" t="str">
        <f>IF(I19=0,"",VLOOKUP(I19,DATOS!$B$2:$D$891,3,FALSE))</f>
        <v/>
      </c>
      <c r="L19" s="198"/>
      <c r="M19" s="145"/>
      <c r="N19" s="95"/>
      <c r="O19" s="95"/>
      <c r="P19" s="97"/>
      <c r="Q19" s="98"/>
      <c r="R19" s="98"/>
      <c r="S19" s="98"/>
      <c r="T19" s="95"/>
      <c r="U19" s="102"/>
      <c r="V19" s="103"/>
      <c r="W19" s="95"/>
      <c r="X19" s="95"/>
      <c r="Y19" s="102"/>
      <c r="Z19" s="130"/>
      <c r="AA19" s="105"/>
      <c r="AB19" s="98"/>
      <c r="AC19" s="95"/>
      <c r="AD19" s="95"/>
      <c r="AE19" s="122"/>
      <c r="AF19" s="147"/>
      <c r="AG19" s="95"/>
      <c r="AH19" s="149"/>
      <c r="AI19" s="95"/>
      <c r="AJ19" s="102"/>
      <c r="AK19" s="103"/>
      <c r="AL19" s="97"/>
      <c r="AM19" s="95"/>
      <c r="AN19" s="95"/>
      <c r="AO19" s="98"/>
      <c r="AP19" s="102"/>
      <c r="AQ19" s="106"/>
      <c r="AR19" s="141"/>
      <c r="AS19" s="141"/>
      <c r="AT19" s="143"/>
      <c r="AU19" s="141"/>
      <c r="AV19" s="143"/>
      <c r="AW19" s="99"/>
      <c r="AX19" s="99"/>
      <c r="AY19" s="107"/>
      <c r="AZ19" s="145"/>
      <c r="BA19" s="98"/>
      <c r="BB19" s="100"/>
      <c r="BC19" s="104">
        <f t="shared" si="2"/>
        <v>0</v>
      </c>
      <c r="BD19" s="101"/>
    </row>
    <row r="20" spans="1:56" s="3" customFormat="1" ht="27.75" customHeight="1" x14ac:dyDescent="0.25">
      <c r="A20" s="88"/>
      <c r="B20" s="126"/>
      <c r="C20" s="95" t="str">
        <f>IF(B20=0,"",VLOOKUP(B20,DATOS!$H$2:$K$50,2,FALSE))</f>
        <v/>
      </c>
      <c r="D20" s="95" t="str">
        <f>IF(B20=0,"",VLOOKUP(B20,DATOS!$H$2:$L$49,3,FALSE))</f>
        <v/>
      </c>
      <c r="E20" s="95" t="str">
        <f>IF(B20=0,"",VLOOKUP(B20,DATOS!$H$2:$M$49,4,FALSE))</f>
        <v/>
      </c>
      <c r="F20" s="96"/>
      <c r="G20" s="120"/>
      <c r="H20" s="128"/>
      <c r="I20" s="197"/>
      <c r="J20" s="199" t="str">
        <f>IF(I20=0,"",VLOOKUP(I20,DATOS!$B$2:$D$891,2,FALSE))</f>
        <v/>
      </c>
      <c r="K20" s="199" t="str">
        <f>IF(I20=0,"",VLOOKUP(I20,DATOS!$B$2:$D$891,3,FALSE))</f>
        <v/>
      </c>
      <c r="L20" s="198"/>
      <c r="M20" s="145"/>
      <c r="N20" s="95"/>
      <c r="O20" s="95"/>
      <c r="P20" s="97"/>
      <c r="Q20" s="98"/>
      <c r="R20" s="98"/>
      <c r="S20" s="98"/>
      <c r="T20" s="95"/>
      <c r="U20" s="102"/>
      <c r="V20" s="103"/>
      <c r="W20" s="95"/>
      <c r="X20" s="95"/>
      <c r="Y20" s="102"/>
      <c r="Z20" s="130"/>
      <c r="AA20" s="105"/>
      <c r="AB20" s="98"/>
      <c r="AC20" s="95"/>
      <c r="AD20" s="95"/>
      <c r="AE20" s="122"/>
      <c r="AF20" s="147"/>
      <c r="AG20" s="95"/>
      <c r="AH20" s="149"/>
      <c r="AI20" s="95"/>
      <c r="AJ20" s="102"/>
      <c r="AK20" s="103"/>
      <c r="AL20" s="97"/>
      <c r="AM20" s="95"/>
      <c r="AN20" s="95"/>
      <c r="AO20" s="98"/>
      <c r="AP20" s="102"/>
      <c r="AQ20" s="106"/>
      <c r="AR20" s="141"/>
      <c r="AS20" s="141"/>
      <c r="AT20" s="143"/>
      <c r="AU20" s="141"/>
      <c r="AV20" s="143"/>
      <c r="AW20" s="99"/>
      <c r="AX20" s="99"/>
      <c r="AY20" s="107"/>
      <c r="AZ20" s="145"/>
      <c r="BA20" s="98"/>
      <c r="BB20" s="100"/>
      <c r="BC20" s="104">
        <f t="shared" si="2"/>
        <v>0</v>
      </c>
      <c r="BD20" s="101"/>
    </row>
    <row r="21" spans="1:56" s="3" customFormat="1" ht="27.75" customHeight="1" x14ac:dyDescent="0.25">
      <c r="A21" s="88"/>
      <c r="B21" s="126"/>
      <c r="C21" s="95" t="str">
        <f>IF(B21=0,"",VLOOKUP(B21,DATOS!$H$2:$K$50,2,FALSE))</f>
        <v/>
      </c>
      <c r="D21" s="95" t="str">
        <f>IF(B21=0,"",VLOOKUP(B21,DATOS!$H$2:$L$49,3,FALSE))</f>
        <v/>
      </c>
      <c r="E21" s="95" t="str">
        <f>IF(B21=0,"",VLOOKUP(B21,DATOS!$H$2:$M$49,4,FALSE))</f>
        <v/>
      </c>
      <c r="F21" s="96"/>
      <c r="G21" s="120"/>
      <c r="H21" s="128"/>
      <c r="I21" s="197"/>
      <c r="J21" s="199" t="str">
        <f>IF(I21=0,"",VLOOKUP(I21,DATOS!$B$2:$D$891,2,FALSE))</f>
        <v/>
      </c>
      <c r="K21" s="199" t="str">
        <f>IF(I21=0,"",VLOOKUP(I21,DATOS!$B$2:$D$891,3,FALSE))</f>
        <v/>
      </c>
      <c r="L21" s="198"/>
      <c r="M21" s="145"/>
      <c r="N21" s="95"/>
      <c r="O21" s="95"/>
      <c r="P21" s="97"/>
      <c r="Q21" s="98"/>
      <c r="R21" s="98"/>
      <c r="S21" s="98"/>
      <c r="T21" s="95"/>
      <c r="U21" s="102"/>
      <c r="V21" s="103"/>
      <c r="W21" s="95"/>
      <c r="X21" s="95"/>
      <c r="Y21" s="102"/>
      <c r="Z21" s="130"/>
      <c r="AA21" s="105"/>
      <c r="AB21" s="98"/>
      <c r="AC21" s="95"/>
      <c r="AD21" s="95"/>
      <c r="AE21" s="122"/>
      <c r="AF21" s="147"/>
      <c r="AG21" s="95"/>
      <c r="AH21" s="149"/>
      <c r="AI21" s="95"/>
      <c r="AJ21" s="102"/>
      <c r="AK21" s="103"/>
      <c r="AL21" s="97"/>
      <c r="AM21" s="95"/>
      <c r="AN21" s="95"/>
      <c r="AO21" s="98"/>
      <c r="AP21" s="102"/>
      <c r="AQ21" s="106"/>
      <c r="AR21" s="141"/>
      <c r="AS21" s="141"/>
      <c r="AT21" s="143"/>
      <c r="AU21" s="141"/>
      <c r="AV21" s="143"/>
      <c r="AW21" s="99"/>
      <c r="AX21" s="99"/>
      <c r="AY21" s="107"/>
      <c r="AZ21" s="145"/>
      <c r="BA21" s="98"/>
      <c r="BB21" s="100"/>
      <c r="BC21" s="104">
        <f t="shared" si="2"/>
        <v>0</v>
      </c>
      <c r="BD21" s="101"/>
    </row>
    <row r="22" spans="1:56" s="3" customFormat="1" ht="27.75" customHeight="1" x14ac:dyDescent="0.25">
      <c r="A22" s="88"/>
      <c r="B22" s="126"/>
      <c r="C22" s="95" t="str">
        <f>IF(B22=0,"",VLOOKUP(B22,DATOS!$H$2:$K$50,2,FALSE))</f>
        <v/>
      </c>
      <c r="D22" s="95" t="str">
        <f>IF(B22=0,"",VLOOKUP(B22,DATOS!$H$2:$L$49,3,FALSE))</f>
        <v/>
      </c>
      <c r="E22" s="95" t="str">
        <f>IF(B22=0,"",VLOOKUP(B22,DATOS!$H$2:$M$49,4,FALSE))</f>
        <v/>
      </c>
      <c r="F22" s="96"/>
      <c r="G22" s="120"/>
      <c r="H22" s="128"/>
      <c r="I22" s="197"/>
      <c r="J22" s="199" t="str">
        <f>IF(I22=0,"",VLOOKUP(I22,DATOS!$B$2:$D$891,2,FALSE))</f>
        <v/>
      </c>
      <c r="K22" s="199" t="str">
        <f>IF(I22=0,"",VLOOKUP(I22,DATOS!$B$2:$D$891,3,FALSE))</f>
        <v/>
      </c>
      <c r="L22" s="198"/>
      <c r="M22" s="145"/>
      <c r="N22" s="95"/>
      <c r="O22" s="95"/>
      <c r="P22" s="97"/>
      <c r="Q22" s="98"/>
      <c r="R22" s="98"/>
      <c r="S22" s="98"/>
      <c r="T22" s="95"/>
      <c r="U22" s="102"/>
      <c r="V22" s="103"/>
      <c r="W22" s="95"/>
      <c r="X22" s="95"/>
      <c r="Y22" s="102"/>
      <c r="Z22" s="130"/>
      <c r="AA22" s="105"/>
      <c r="AB22" s="98"/>
      <c r="AC22" s="95"/>
      <c r="AD22" s="95"/>
      <c r="AE22" s="122"/>
      <c r="AF22" s="147"/>
      <c r="AG22" s="95"/>
      <c r="AH22" s="149"/>
      <c r="AI22" s="95"/>
      <c r="AJ22" s="102"/>
      <c r="AK22" s="103"/>
      <c r="AL22" s="97"/>
      <c r="AM22" s="95"/>
      <c r="AN22" s="95"/>
      <c r="AO22" s="98"/>
      <c r="AP22" s="102"/>
      <c r="AQ22" s="106"/>
      <c r="AR22" s="141"/>
      <c r="AS22" s="141"/>
      <c r="AT22" s="143"/>
      <c r="AU22" s="141"/>
      <c r="AV22" s="143"/>
      <c r="AW22" s="99"/>
      <c r="AX22" s="99"/>
      <c r="AY22" s="107"/>
      <c r="AZ22" s="145"/>
      <c r="BA22" s="98"/>
      <c r="BB22" s="100"/>
      <c r="BC22" s="104">
        <f t="shared" si="2"/>
        <v>0</v>
      </c>
      <c r="BD22" s="101"/>
    </row>
    <row r="23" spans="1:56" s="3" customFormat="1" ht="27.75" customHeight="1" x14ac:dyDescent="0.25">
      <c r="A23" s="88"/>
      <c r="B23" s="126"/>
      <c r="C23" s="95" t="str">
        <f>IF(B23=0,"",VLOOKUP(B23,DATOS!$H$2:$K$50,2,FALSE))</f>
        <v/>
      </c>
      <c r="D23" s="95" t="str">
        <f>IF(B23=0,"",VLOOKUP(B23,DATOS!$H$2:$L$49,3,FALSE))</f>
        <v/>
      </c>
      <c r="E23" s="95" t="str">
        <f>IF(B23=0,"",VLOOKUP(B23,DATOS!$H$2:$M$49,4,FALSE))</f>
        <v/>
      </c>
      <c r="F23" s="96"/>
      <c r="G23" s="120"/>
      <c r="H23" s="128"/>
      <c r="I23" s="197"/>
      <c r="J23" s="199" t="str">
        <f>IF(I23=0,"",VLOOKUP(I23,DATOS!$B$2:$D$891,2,FALSE))</f>
        <v/>
      </c>
      <c r="K23" s="199" t="str">
        <f>IF(I23=0,"",VLOOKUP(I23,DATOS!$B$2:$D$891,3,FALSE))</f>
        <v/>
      </c>
      <c r="L23" s="198"/>
      <c r="M23" s="145"/>
      <c r="N23" s="95"/>
      <c r="O23" s="95"/>
      <c r="P23" s="97"/>
      <c r="Q23" s="98"/>
      <c r="R23" s="98"/>
      <c r="S23" s="98"/>
      <c r="T23" s="95"/>
      <c r="U23" s="102"/>
      <c r="V23" s="103"/>
      <c r="W23" s="95"/>
      <c r="X23" s="95"/>
      <c r="Y23" s="102"/>
      <c r="Z23" s="130"/>
      <c r="AA23" s="105"/>
      <c r="AB23" s="98"/>
      <c r="AC23" s="95"/>
      <c r="AD23" s="95"/>
      <c r="AE23" s="122"/>
      <c r="AF23" s="147"/>
      <c r="AG23" s="95"/>
      <c r="AH23" s="149"/>
      <c r="AI23" s="95"/>
      <c r="AJ23" s="102"/>
      <c r="AK23" s="103"/>
      <c r="AL23" s="97"/>
      <c r="AM23" s="95"/>
      <c r="AN23" s="95"/>
      <c r="AO23" s="98"/>
      <c r="AP23" s="102"/>
      <c r="AQ23" s="106"/>
      <c r="AR23" s="141"/>
      <c r="AS23" s="141"/>
      <c r="AT23" s="143"/>
      <c r="AU23" s="141"/>
      <c r="AV23" s="143"/>
      <c r="AW23" s="99"/>
      <c r="AX23" s="99"/>
      <c r="AY23" s="107"/>
      <c r="AZ23" s="145"/>
      <c r="BA23" s="98"/>
      <c r="BB23" s="100"/>
      <c r="BC23" s="104">
        <f t="shared" si="2"/>
        <v>0</v>
      </c>
      <c r="BD23" s="101"/>
    </row>
    <row r="24" spans="1:56" s="3" customFormat="1" ht="27.75" customHeight="1" x14ac:dyDescent="0.25">
      <c r="A24" s="88"/>
      <c r="B24" s="126"/>
      <c r="C24" s="95" t="str">
        <f>IF(B24=0,"",VLOOKUP(B24,DATOS!$H$2:$K$50,2,FALSE))</f>
        <v/>
      </c>
      <c r="D24" s="95" t="str">
        <f>IF(B24=0,"",VLOOKUP(B24,DATOS!$H$2:$L$49,3,FALSE))</f>
        <v/>
      </c>
      <c r="E24" s="95" t="str">
        <f>IF(B24=0,"",VLOOKUP(B24,DATOS!$H$2:$M$49,4,FALSE))</f>
        <v/>
      </c>
      <c r="F24" s="96"/>
      <c r="G24" s="120"/>
      <c r="H24" s="128"/>
      <c r="I24" s="197"/>
      <c r="J24" s="199" t="str">
        <f>IF(I24=0,"",VLOOKUP(I24,DATOS!$B$2:$D$891,2,FALSE))</f>
        <v/>
      </c>
      <c r="K24" s="199" t="str">
        <f>IF(I24=0,"",VLOOKUP(I24,DATOS!$B$2:$D$891,3,FALSE))</f>
        <v/>
      </c>
      <c r="L24" s="198"/>
      <c r="M24" s="145"/>
      <c r="N24" s="95"/>
      <c r="O24" s="95"/>
      <c r="P24" s="97"/>
      <c r="Q24" s="98"/>
      <c r="R24" s="98"/>
      <c r="S24" s="98"/>
      <c r="T24" s="95"/>
      <c r="U24" s="102"/>
      <c r="V24" s="103"/>
      <c r="W24" s="95"/>
      <c r="X24" s="95"/>
      <c r="Y24" s="102"/>
      <c r="Z24" s="130"/>
      <c r="AA24" s="105"/>
      <c r="AB24" s="98"/>
      <c r="AC24" s="95"/>
      <c r="AD24" s="95"/>
      <c r="AE24" s="122"/>
      <c r="AF24" s="147"/>
      <c r="AG24" s="95"/>
      <c r="AH24" s="149"/>
      <c r="AI24" s="95"/>
      <c r="AJ24" s="102"/>
      <c r="AK24" s="103"/>
      <c r="AL24" s="97"/>
      <c r="AM24" s="95"/>
      <c r="AN24" s="95"/>
      <c r="AO24" s="98"/>
      <c r="AP24" s="102"/>
      <c r="AQ24" s="106"/>
      <c r="AR24" s="141"/>
      <c r="AS24" s="141"/>
      <c r="AT24" s="143"/>
      <c r="AU24" s="141"/>
      <c r="AV24" s="143"/>
      <c r="AW24" s="99"/>
      <c r="AX24" s="99"/>
      <c r="AY24" s="107"/>
      <c r="AZ24" s="145"/>
      <c r="BA24" s="98"/>
      <c r="BB24" s="100"/>
      <c r="BC24" s="104">
        <f t="shared" si="2"/>
        <v>0</v>
      </c>
      <c r="BD24" s="101"/>
    </row>
    <row r="25" spans="1:56" s="3" customFormat="1" ht="27.75" customHeight="1" x14ac:dyDescent="0.25">
      <c r="A25" s="88"/>
      <c r="B25" s="126"/>
      <c r="C25" s="95" t="str">
        <f>IF(B25=0,"",VLOOKUP(B25,DATOS!$H$2:$K$50,2,FALSE))</f>
        <v/>
      </c>
      <c r="D25" s="95" t="str">
        <f>IF(B25=0,"",VLOOKUP(B25,DATOS!$H$2:$L$49,3,FALSE))</f>
        <v/>
      </c>
      <c r="E25" s="95" t="str">
        <f>IF(B25=0,"",VLOOKUP(B25,DATOS!$H$2:$M$49,4,FALSE))</f>
        <v/>
      </c>
      <c r="F25" s="96"/>
      <c r="G25" s="120"/>
      <c r="H25" s="128"/>
      <c r="I25" s="197"/>
      <c r="J25" s="199" t="str">
        <f>IF(I25=0,"",VLOOKUP(I25,DATOS!$B$2:$D$891,2,FALSE))</f>
        <v/>
      </c>
      <c r="K25" s="199" t="str">
        <f>IF(I25=0,"",VLOOKUP(I25,DATOS!$B$2:$D$891,3,FALSE))</f>
        <v/>
      </c>
      <c r="L25" s="198"/>
      <c r="M25" s="145"/>
      <c r="N25" s="95"/>
      <c r="O25" s="95"/>
      <c r="P25" s="97"/>
      <c r="Q25" s="98"/>
      <c r="R25" s="98"/>
      <c r="S25" s="98"/>
      <c r="T25" s="95"/>
      <c r="U25" s="102"/>
      <c r="V25" s="103"/>
      <c r="W25" s="95"/>
      <c r="X25" s="95"/>
      <c r="Y25" s="102"/>
      <c r="Z25" s="130"/>
      <c r="AA25" s="105"/>
      <c r="AB25" s="98"/>
      <c r="AC25" s="95"/>
      <c r="AD25" s="95"/>
      <c r="AE25" s="122"/>
      <c r="AF25" s="147"/>
      <c r="AG25" s="95"/>
      <c r="AH25" s="149"/>
      <c r="AI25" s="95"/>
      <c r="AJ25" s="102"/>
      <c r="AK25" s="103"/>
      <c r="AL25" s="97"/>
      <c r="AM25" s="95"/>
      <c r="AN25" s="95"/>
      <c r="AO25" s="98"/>
      <c r="AP25" s="102"/>
      <c r="AQ25" s="106"/>
      <c r="AR25" s="141"/>
      <c r="AS25" s="141"/>
      <c r="AT25" s="143"/>
      <c r="AU25" s="141"/>
      <c r="AV25" s="143"/>
      <c r="AW25" s="99"/>
      <c r="AX25" s="99"/>
      <c r="AY25" s="107"/>
      <c r="AZ25" s="145"/>
      <c r="BA25" s="98"/>
      <c r="BB25" s="100"/>
      <c r="BC25" s="104">
        <f t="shared" si="2"/>
        <v>0</v>
      </c>
      <c r="BD25" s="101"/>
    </row>
    <row r="26" spans="1:56" s="3" customFormat="1" ht="27.75" customHeight="1" x14ac:dyDescent="0.25">
      <c r="A26" s="88"/>
      <c r="B26" s="126"/>
      <c r="C26" s="95" t="str">
        <f>IF(B26=0,"",VLOOKUP(B26,DATOS!$H$2:$K$50,2,FALSE))</f>
        <v/>
      </c>
      <c r="D26" s="95" t="str">
        <f>IF(B26=0,"",VLOOKUP(B26,DATOS!$H$2:$L$49,3,FALSE))</f>
        <v/>
      </c>
      <c r="E26" s="95" t="str">
        <f>IF(B26=0,"",VLOOKUP(B26,DATOS!$H$2:$M$49,4,FALSE))</f>
        <v/>
      </c>
      <c r="F26" s="96"/>
      <c r="G26" s="120"/>
      <c r="H26" s="128"/>
      <c r="I26" s="197"/>
      <c r="J26" s="199" t="str">
        <f>IF(I26=0,"",VLOOKUP(I26,DATOS!$B$2:$D$891,2,FALSE))</f>
        <v/>
      </c>
      <c r="K26" s="199" t="str">
        <f>IF(I26=0,"",VLOOKUP(I26,DATOS!$B$2:$D$891,3,FALSE))</f>
        <v/>
      </c>
      <c r="L26" s="198"/>
      <c r="M26" s="145"/>
      <c r="N26" s="95"/>
      <c r="O26" s="95"/>
      <c r="P26" s="97"/>
      <c r="Q26" s="98"/>
      <c r="R26" s="98"/>
      <c r="S26" s="98"/>
      <c r="T26" s="95"/>
      <c r="U26" s="102"/>
      <c r="V26" s="103"/>
      <c r="W26" s="95"/>
      <c r="X26" s="95"/>
      <c r="Y26" s="102"/>
      <c r="Z26" s="130"/>
      <c r="AA26" s="105"/>
      <c r="AB26" s="98"/>
      <c r="AC26" s="95"/>
      <c r="AD26" s="95"/>
      <c r="AE26" s="122"/>
      <c r="AF26" s="147"/>
      <c r="AG26" s="95"/>
      <c r="AH26" s="149"/>
      <c r="AI26" s="95"/>
      <c r="AJ26" s="102"/>
      <c r="AK26" s="103"/>
      <c r="AL26" s="97"/>
      <c r="AM26" s="95"/>
      <c r="AN26" s="95"/>
      <c r="AO26" s="98"/>
      <c r="AP26" s="102"/>
      <c r="AQ26" s="106"/>
      <c r="AR26" s="141"/>
      <c r="AS26" s="141"/>
      <c r="AT26" s="143"/>
      <c r="AU26" s="141"/>
      <c r="AV26" s="143"/>
      <c r="AW26" s="99"/>
      <c r="AX26" s="99"/>
      <c r="AY26" s="107"/>
      <c r="AZ26" s="145"/>
      <c r="BA26" s="98"/>
      <c r="BB26" s="100"/>
      <c r="BC26" s="104">
        <f t="shared" si="2"/>
        <v>0</v>
      </c>
      <c r="BD26" s="101"/>
    </row>
    <row r="27" spans="1:56" s="3" customFormat="1" ht="27.75" customHeight="1" x14ac:dyDescent="0.25">
      <c r="A27" s="88"/>
      <c r="B27" s="126"/>
      <c r="C27" s="95" t="str">
        <f>IF(B27=0,"",VLOOKUP(B27,DATOS!$H$2:$K$50,2,FALSE))</f>
        <v/>
      </c>
      <c r="D27" s="95" t="str">
        <f>IF(B27=0,"",VLOOKUP(B27,DATOS!$H$2:$L$49,3,FALSE))</f>
        <v/>
      </c>
      <c r="E27" s="95" t="str">
        <f>IF(B27=0,"",VLOOKUP(B27,DATOS!$H$2:$M$49,4,FALSE))</f>
        <v/>
      </c>
      <c r="F27" s="96"/>
      <c r="G27" s="120"/>
      <c r="H27" s="128"/>
      <c r="I27" s="197"/>
      <c r="J27" s="199" t="str">
        <f>IF(I27=0,"",VLOOKUP(I27,DATOS!$B$2:$D$891,2,FALSE))</f>
        <v/>
      </c>
      <c r="K27" s="199" t="str">
        <f>IF(I27=0,"",VLOOKUP(I27,DATOS!$B$2:$D$891,3,FALSE))</f>
        <v/>
      </c>
      <c r="L27" s="198"/>
      <c r="M27" s="145"/>
      <c r="N27" s="95"/>
      <c r="O27" s="95"/>
      <c r="P27" s="97"/>
      <c r="Q27" s="98"/>
      <c r="R27" s="98"/>
      <c r="S27" s="98"/>
      <c r="T27" s="95"/>
      <c r="U27" s="102"/>
      <c r="V27" s="103"/>
      <c r="W27" s="95"/>
      <c r="X27" s="95"/>
      <c r="Y27" s="102"/>
      <c r="Z27" s="130"/>
      <c r="AA27" s="105"/>
      <c r="AB27" s="98"/>
      <c r="AC27" s="95"/>
      <c r="AD27" s="95"/>
      <c r="AE27" s="122"/>
      <c r="AF27" s="147"/>
      <c r="AG27" s="95"/>
      <c r="AH27" s="149"/>
      <c r="AI27" s="95"/>
      <c r="AJ27" s="102"/>
      <c r="AK27" s="103"/>
      <c r="AL27" s="97"/>
      <c r="AM27" s="95"/>
      <c r="AN27" s="95"/>
      <c r="AO27" s="98"/>
      <c r="AP27" s="102"/>
      <c r="AQ27" s="106"/>
      <c r="AR27" s="141"/>
      <c r="AS27" s="141"/>
      <c r="AT27" s="143"/>
      <c r="AU27" s="141"/>
      <c r="AV27" s="143"/>
      <c r="AW27" s="99"/>
      <c r="AX27" s="99"/>
      <c r="AY27" s="107"/>
      <c r="AZ27" s="145"/>
      <c r="BA27" s="98"/>
      <c r="BB27" s="100"/>
      <c r="BC27" s="104">
        <f t="shared" si="2"/>
        <v>0</v>
      </c>
      <c r="BD27" s="101"/>
    </row>
    <row r="28" spans="1:56" s="3" customFormat="1" ht="27.75" customHeight="1" x14ac:dyDescent="0.25">
      <c r="A28" s="88"/>
      <c r="B28" s="126"/>
      <c r="C28" s="95" t="str">
        <f>IF(B28=0,"",VLOOKUP(B28,DATOS!$H$2:$K$50,2,FALSE))</f>
        <v/>
      </c>
      <c r="D28" s="95" t="str">
        <f>IF(B28=0,"",VLOOKUP(B28,DATOS!$H$2:$L$49,3,FALSE))</f>
        <v/>
      </c>
      <c r="E28" s="95" t="str">
        <f>IF(B28=0,"",VLOOKUP(B28,DATOS!$H$2:$M$49,4,FALSE))</f>
        <v/>
      </c>
      <c r="F28" s="96"/>
      <c r="G28" s="120"/>
      <c r="H28" s="128"/>
      <c r="I28" s="197"/>
      <c r="J28" s="199" t="str">
        <f>IF(I28=0,"",VLOOKUP(I28,DATOS!$B$2:$D$891,2,FALSE))</f>
        <v/>
      </c>
      <c r="K28" s="199" t="str">
        <f>IF(I28=0,"",VLOOKUP(I28,DATOS!$B$2:$D$891,3,FALSE))</f>
        <v/>
      </c>
      <c r="L28" s="198"/>
      <c r="M28" s="145"/>
      <c r="N28" s="95"/>
      <c r="O28" s="95"/>
      <c r="P28" s="97"/>
      <c r="Q28" s="98"/>
      <c r="R28" s="98"/>
      <c r="S28" s="98"/>
      <c r="T28" s="95"/>
      <c r="U28" s="102"/>
      <c r="V28" s="103"/>
      <c r="W28" s="95"/>
      <c r="X28" s="95"/>
      <c r="Y28" s="102"/>
      <c r="Z28" s="130"/>
      <c r="AA28" s="105"/>
      <c r="AB28" s="98"/>
      <c r="AC28" s="95"/>
      <c r="AD28" s="95"/>
      <c r="AE28" s="122"/>
      <c r="AF28" s="147"/>
      <c r="AG28" s="95"/>
      <c r="AH28" s="149"/>
      <c r="AI28" s="95"/>
      <c r="AJ28" s="102"/>
      <c r="AK28" s="103"/>
      <c r="AL28" s="97"/>
      <c r="AM28" s="95"/>
      <c r="AN28" s="95"/>
      <c r="AO28" s="98"/>
      <c r="AP28" s="102"/>
      <c r="AQ28" s="106"/>
      <c r="AR28" s="141"/>
      <c r="AS28" s="141"/>
      <c r="AT28" s="143"/>
      <c r="AU28" s="141"/>
      <c r="AV28" s="143"/>
      <c r="AW28" s="99"/>
      <c r="AX28" s="99"/>
      <c r="AY28" s="107"/>
      <c r="AZ28" s="145"/>
      <c r="BA28" s="98"/>
      <c r="BB28" s="100"/>
      <c r="BC28" s="104">
        <f t="shared" si="2"/>
        <v>0</v>
      </c>
      <c r="BD28" s="101"/>
    </row>
    <row r="29" spans="1:56" s="3" customFormat="1" ht="27.75" customHeight="1" x14ac:dyDescent="0.25">
      <c r="A29" s="88"/>
      <c r="B29" s="126"/>
      <c r="C29" s="95" t="str">
        <f>IF(B29=0,"",VLOOKUP(B29,DATOS!$H$2:$K$50,2,FALSE))</f>
        <v/>
      </c>
      <c r="D29" s="95" t="str">
        <f>IF(B29=0,"",VLOOKUP(B29,DATOS!$H$2:$L$49,3,FALSE))</f>
        <v/>
      </c>
      <c r="E29" s="95" t="str">
        <f>IF(B29=0,"",VLOOKUP(B29,DATOS!$H$2:$M$49,4,FALSE))</f>
        <v/>
      </c>
      <c r="F29" s="96"/>
      <c r="G29" s="120"/>
      <c r="H29" s="128"/>
      <c r="I29" s="197"/>
      <c r="J29" s="199" t="str">
        <f>IF(I29=0,"",VLOOKUP(I29,DATOS!$B$2:$D$891,2,FALSE))</f>
        <v/>
      </c>
      <c r="K29" s="199" t="str">
        <f>IF(I29=0,"",VLOOKUP(I29,DATOS!$B$2:$D$891,3,FALSE))</f>
        <v/>
      </c>
      <c r="L29" s="198"/>
      <c r="M29" s="145"/>
      <c r="N29" s="95"/>
      <c r="O29" s="95"/>
      <c r="P29" s="97"/>
      <c r="Q29" s="98"/>
      <c r="R29" s="98"/>
      <c r="S29" s="98"/>
      <c r="T29" s="95"/>
      <c r="U29" s="102"/>
      <c r="V29" s="103"/>
      <c r="W29" s="95"/>
      <c r="X29" s="95"/>
      <c r="Y29" s="102"/>
      <c r="Z29" s="130"/>
      <c r="AA29" s="105"/>
      <c r="AB29" s="98"/>
      <c r="AC29" s="95"/>
      <c r="AD29" s="95"/>
      <c r="AE29" s="122"/>
      <c r="AF29" s="147"/>
      <c r="AG29" s="95"/>
      <c r="AH29" s="149"/>
      <c r="AI29" s="95"/>
      <c r="AJ29" s="102"/>
      <c r="AK29" s="103"/>
      <c r="AL29" s="97"/>
      <c r="AM29" s="95"/>
      <c r="AN29" s="95"/>
      <c r="AO29" s="98"/>
      <c r="AP29" s="102"/>
      <c r="AQ29" s="106"/>
      <c r="AR29" s="141"/>
      <c r="AS29" s="141"/>
      <c r="AT29" s="143"/>
      <c r="AU29" s="141"/>
      <c r="AV29" s="143"/>
      <c r="AW29" s="99"/>
      <c r="AX29" s="99"/>
      <c r="AY29" s="107"/>
      <c r="AZ29" s="145"/>
      <c r="BA29" s="98"/>
      <c r="BB29" s="100"/>
      <c r="BC29" s="104">
        <f t="shared" si="2"/>
        <v>0</v>
      </c>
      <c r="BD29" s="101"/>
    </row>
    <row r="30" spans="1:56" s="3" customFormat="1" ht="27.75" customHeight="1" x14ac:dyDescent="0.25">
      <c r="A30" s="88"/>
      <c r="B30" s="126"/>
      <c r="C30" s="95" t="str">
        <f>IF(B30=0,"",VLOOKUP(B30,DATOS!$H$2:$K$50,2,FALSE))</f>
        <v/>
      </c>
      <c r="D30" s="95" t="str">
        <f>IF(B30=0,"",VLOOKUP(B30,DATOS!$H$2:$L$49,3,FALSE))</f>
        <v/>
      </c>
      <c r="E30" s="95" t="str">
        <f>IF(B30=0,"",VLOOKUP(B30,DATOS!$H$2:$M$49,4,FALSE))</f>
        <v/>
      </c>
      <c r="F30" s="96"/>
      <c r="G30" s="120"/>
      <c r="H30" s="128"/>
      <c r="I30" s="197"/>
      <c r="J30" s="199" t="str">
        <f>IF(I30=0,"",VLOOKUP(I30,DATOS!$B$2:$D$891,2,FALSE))</f>
        <v/>
      </c>
      <c r="K30" s="199" t="str">
        <f>IF(I30=0,"",VLOOKUP(I30,DATOS!$B$2:$D$891,3,FALSE))</f>
        <v/>
      </c>
      <c r="L30" s="198"/>
      <c r="M30" s="145"/>
      <c r="N30" s="95"/>
      <c r="O30" s="95"/>
      <c r="P30" s="97"/>
      <c r="Q30" s="98"/>
      <c r="R30" s="98"/>
      <c r="S30" s="98"/>
      <c r="T30" s="95"/>
      <c r="U30" s="102"/>
      <c r="V30" s="103"/>
      <c r="W30" s="95"/>
      <c r="X30" s="95"/>
      <c r="Y30" s="102"/>
      <c r="Z30" s="130"/>
      <c r="AA30" s="105"/>
      <c r="AB30" s="98"/>
      <c r="AC30" s="95"/>
      <c r="AD30" s="95"/>
      <c r="AE30" s="122"/>
      <c r="AF30" s="147"/>
      <c r="AG30" s="95"/>
      <c r="AH30" s="149"/>
      <c r="AI30" s="95"/>
      <c r="AJ30" s="102"/>
      <c r="AK30" s="103"/>
      <c r="AL30" s="97"/>
      <c r="AM30" s="95"/>
      <c r="AN30" s="95"/>
      <c r="AO30" s="98"/>
      <c r="AP30" s="102"/>
      <c r="AQ30" s="106"/>
      <c r="AR30" s="141"/>
      <c r="AS30" s="141"/>
      <c r="AT30" s="143"/>
      <c r="AU30" s="141"/>
      <c r="AV30" s="143"/>
      <c r="AW30" s="99"/>
      <c r="AX30" s="99"/>
      <c r="AY30" s="107"/>
      <c r="AZ30" s="145"/>
      <c r="BA30" s="98"/>
      <c r="BB30" s="100"/>
      <c r="BC30" s="104">
        <f t="shared" si="2"/>
        <v>0</v>
      </c>
      <c r="BD30" s="101"/>
    </row>
    <row r="31" spans="1:56" s="3" customFormat="1" ht="27.75" customHeight="1" x14ac:dyDescent="0.25">
      <c r="A31" s="88"/>
      <c r="B31" s="126"/>
      <c r="C31" s="95" t="str">
        <f>IF(B31=0,"",VLOOKUP(B31,DATOS!$H$2:$K$50,2,FALSE))</f>
        <v/>
      </c>
      <c r="D31" s="95" t="str">
        <f>IF(B31=0,"",VLOOKUP(B31,DATOS!$H$2:$L$49,3,FALSE))</f>
        <v/>
      </c>
      <c r="E31" s="95" t="str">
        <f>IF(B31=0,"",VLOOKUP(B31,DATOS!$H$2:$M$49,4,FALSE))</f>
        <v/>
      </c>
      <c r="F31" s="96"/>
      <c r="G31" s="120"/>
      <c r="H31" s="128"/>
      <c r="I31" s="197"/>
      <c r="J31" s="199" t="str">
        <f>IF(I31=0,"",VLOOKUP(I31,DATOS!$B$2:$D$891,2,FALSE))</f>
        <v/>
      </c>
      <c r="K31" s="199" t="str">
        <f>IF(I31=0,"",VLOOKUP(I31,DATOS!$B$2:$D$891,3,FALSE))</f>
        <v/>
      </c>
      <c r="L31" s="198"/>
      <c r="M31" s="145"/>
      <c r="N31" s="95"/>
      <c r="O31" s="95"/>
      <c r="P31" s="97"/>
      <c r="Q31" s="98"/>
      <c r="R31" s="98"/>
      <c r="S31" s="98"/>
      <c r="T31" s="95"/>
      <c r="U31" s="102"/>
      <c r="V31" s="103"/>
      <c r="W31" s="95"/>
      <c r="X31" s="95"/>
      <c r="Y31" s="102"/>
      <c r="Z31" s="130"/>
      <c r="AA31" s="105"/>
      <c r="AB31" s="98"/>
      <c r="AC31" s="95"/>
      <c r="AD31" s="95"/>
      <c r="AE31" s="122"/>
      <c r="AF31" s="147"/>
      <c r="AG31" s="95"/>
      <c r="AH31" s="149"/>
      <c r="AI31" s="95"/>
      <c r="AJ31" s="102"/>
      <c r="AK31" s="103"/>
      <c r="AL31" s="97"/>
      <c r="AM31" s="95"/>
      <c r="AN31" s="95"/>
      <c r="AO31" s="98"/>
      <c r="AP31" s="102"/>
      <c r="AQ31" s="106"/>
      <c r="AR31" s="141"/>
      <c r="AS31" s="141"/>
      <c r="AT31" s="143"/>
      <c r="AU31" s="141"/>
      <c r="AV31" s="143"/>
      <c r="AW31" s="99"/>
      <c r="AX31" s="99"/>
      <c r="AY31" s="107"/>
      <c r="AZ31" s="145"/>
      <c r="BA31" s="98"/>
      <c r="BB31" s="100"/>
      <c r="BC31" s="104">
        <f t="shared" si="2"/>
        <v>0</v>
      </c>
      <c r="BD31" s="101"/>
    </row>
    <row r="32" spans="1:56" s="3" customFormat="1" ht="27.75" customHeight="1" x14ac:dyDescent="0.25">
      <c r="A32" s="88"/>
      <c r="B32" s="126"/>
      <c r="C32" s="95" t="str">
        <f>IF(B32=0,"",VLOOKUP(B32,DATOS!$H$2:$K$50,2,FALSE))</f>
        <v/>
      </c>
      <c r="D32" s="95" t="str">
        <f>IF(B32=0,"",VLOOKUP(B32,DATOS!$H$2:$L$49,3,FALSE))</f>
        <v/>
      </c>
      <c r="E32" s="95" t="str">
        <f>IF(B32=0,"",VLOOKUP(B32,DATOS!$H$2:$M$49,4,FALSE))</f>
        <v/>
      </c>
      <c r="F32" s="96"/>
      <c r="G32" s="120"/>
      <c r="H32" s="128"/>
      <c r="I32" s="197"/>
      <c r="J32" s="199" t="str">
        <f>IF(I32=0,"",VLOOKUP(I32,DATOS!$B$2:$D$891,2,FALSE))</f>
        <v/>
      </c>
      <c r="K32" s="199" t="str">
        <f>IF(I32=0,"",VLOOKUP(I32,DATOS!$B$2:$D$891,3,FALSE))</f>
        <v/>
      </c>
      <c r="L32" s="198"/>
      <c r="M32" s="145"/>
      <c r="N32" s="95"/>
      <c r="O32" s="95"/>
      <c r="P32" s="97"/>
      <c r="Q32" s="98"/>
      <c r="R32" s="98"/>
      <c r="S32" s="98"/>
      <c r="T32" s="95"/>
      <c r="U32" s="102"/>
      <c r="V32" s="103"/>
      <c r="W32" s="95"/>
      <c r="X32" s="95"/>
      <c r="Y32" s="102"/>
      <c r="Z32" s="130"/>
      <c r="AA32" s="105"/>
      <c r="AB32" s="98"/>
      <c r="AC32" s="95"/>
      <c r="AD32" s="95"/>
      <c r="AE32" s="122"/>
      <c r="AF32" s="147"/>
      <c r="AG32" s="95"/>
      <c r="AH32" s="149"/>
      <c r="AI32" s="95"/>
      <c r="AJ32" s="102"/>
      <c r="AK32" s="103"/>
      <c r="AL32" s="97"/>
      <c r="AM32" s="95"/>
      <c r="AN32" s="95"/>
      <c r="AO32" s="98"/>
      <c r="AP32" s="102"/>
      <c r="AQ32" s="106"/>
      <c r="AR32" s="141"/>
      <c r="AS32" s="141"/>
      <c r="AT32" s="143"/>
      <c r="AU32" s="141"/>
      <c r="AV32" s="143"/>
      <c r="AW32" s="99"/>
      <c r="AX32" s="99"/>
      <c r="AY32" s="107"/>
      <c r="AZ32" s="145"/>
      <c r="BA32" s="98"/>
      <c r="BB32" s="100"/>
      <c r="BC32" s="104">
        <f t="shared" si="2"/>
        <v>0</v>
      </c>
      <c r="BD32" s="101"/>
    </row>
    <row r="33" spans="2:56" ht="27.75" customHeight="1" thickBot="1" x14ac:dyDescent="0.3"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1"/>
      <c r="S33" s="90"/>
      <c r="T33" s="90"/>
      <c r="U33" s="90"/>
      <c r="V33" s="90"/>
      <c r="W33" s="90"/>
      <c r="X33" s="90"/>
      <c r="Y33" s="90"/>
      <c r="Z33" s="138">
        <f>SUM(Z5:Z32)</f>
        <v>10000</v>
      </c>
      <c r="AA33" s="90"/>
      <c r="AB33" s="91"/>
      <c r="AC33" s="92"/>
      <c r="AD33" s="92"/>
      <c r="AE33" s="92"/>
      <c r="AF33" s="93"/>
      <c r="AG33" s="90"/>
      <c r="AH33" s="90"/>
      <c r="AI33" s="90"/>
      <c r="AJ33" s="90"/>
      <c r="AK33" s="90"/>
      <c r="AL33" s="94"/>
      <c r="AM33" s="90"/>
      <c r="AN33" s="90"/>
      <c r="AO33" s="91"/>
      <c r="AP33" s="90"/>
      <c r="AQ33" s="91"/>
      <c r="AR33" s="90"/>
      <c r="AS33" s="90"/>
      <c r="AT33" s="90"/>
      <c r="AU33" s="90"/>
      <c r="AV33" s="90"/>
      <c r="AW33" s="90"/>
      <c r="AX33" s="90"/>
      <c r="AY33" s="90"/>
      <c r="AZ33" s="90"/>
      <c r="BA33" s="135">
        <f>SUM(BA5:BA32)</f>
        <v>4000</v>
      </c>
      <c r="BB33" s="136">
        <f>SUM(BB5:BB32)</f>
        <v>2500</v>
      </c>
      <c r="BC33" s="137">
        <f>IFERROR(IF(BA33&lt;=0, 0,IF(BA33=0,0,(1-BB33/BA33))),0)</f>
        <v>0.375</v>
      </c>
      <c r="BD33" s="90"/>
    </row>
    <row r="34" spans="2:56" s="90" customFormat="1" ht="27.75" customHeight="1" x14ac:dyDescent="0.25">
      <c r="R34" s="91"/>
      <c r="AB34" s="91"/>
      <c r="AC34" s="92"/>
      <c r="AD34" s="92"/>
      <c r="AE34" s="92"/>
      <c r="AF34" s="93"/>
      <c r="AL34" s="94"/>
      <c r="AO34" s="91"/>
      <c r="AQ34" s="91"/>
      <c r="BA34" s="91"/>
      <c r="BB34" s="91"/>
    </row>
    <row r="35" spans="2:56" ht="27.75" hidden="1" customHeight="1" x14ac:dyDescent="0.25"/>
    <row r="36" spans="2:56" ht="27.75" hidden="1" customHeight="1" x14ac:dyDescent="0.25"/>
    <row r="37" spans="2:56" ht="27.75" hidden="1" customHeight="1" x14ac:dyDescent="0.25"/>
    <row r="38" spans="2:56" ht="27.75" hidden="1" customHeight="1" x14ac:dyDescent="0.25"/>
    <row r="39" spans="2:56" ht="27.75" hidden="1" customHeight="1" x14ac:dyDescent="0.25">
      <c r="AX39" s="86"/>
    </row>
    <row r="40" spans="2:56" ht="27.75" hidden="1" customHeight="1" x14ac:dyDescent="0.25"/>
  </sheetData>
  <sheetProtection algorithmName="SHA-512" hashValue="I3y4FVs8jQ3jQ7CSnJFdDD57EETnlxRWB5nnJYnnmlCzDX+Z0pb+lwGFAQxe4Hptzl7W2wKkjup8PS878SbAMQ==" saltValue="+zSG2+vRhgr7b9dDe/BRbg==" spinCount="100000" sheet="1" autoFilter="0"/>
  <protectedRanges>
    <protectedRange sqref="Z33 BA33:BB33 AZ5:BA32 L5:AV32" name="PLANIFICACION_1"/>
    <protectedRange sqref="I5:I32" name="ESPECIE_1"/>
    <protectedRange sqref="F5:H5" name="ENCARGADO_1"/>
    <protectedRange sqref="B5:B32" name="UNIDAD_1"/>
    <protectedRange sqref="AW5:AY32" name="PLANIFICACION_2_1"/>
  </protectedRanges>
  <mergeCells count="64">
    <mergeCell ref="BD3:BD4"/>
    <mergeCell ref="AK1:BC1"/>
    <mergeCell ref="V2:Z2"/>
    <mergeCell ref="AX3:AX4"/>
    <mergeCell ref="AY3:AY4"/>
    <mergeCell ref="AZ3:AZ4"/>
    <mergeCell ref="BA3:BA4"/>
    <mergeCell ref="BB3:BB4"/>
    <mergeCell ref="BC3:BC4"/>
    <mergeCell ref="AR3:AR4"/>
    <mergeCell ref="AS3:AS4"/>
    <mergeCell ref="AT3:AT4"/>
    <mergeCell ref="AU3:AU4"/>
    <mergeCell ref="AV3:AV4"/>
    <mergeCell ref="AW3:AW4"/>
    <mergeCell ref="AL3:AL4"/>
    <mergeCell ref="AM3:AM4"/>
    <mergeCell ref="AN3:AN4"/>
    <mergeCell ref="AO3:AO4"/>
    <mergeCell ref="AP3:AP4"/>
    <mergeCell ref="AQ3:AQ4"/>
    <mergeCell ref="AK3:AK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T3:T4"/>
    <mergeCell ref="U3:U4"/>
    <mergeCell ref="V3:V4"/>
    <mergeCell ref="W3:W4"/>
    <mergeCell ref="X3:X4"/>
    <mergeCell ref="O3:O4"/>
    <mergeCell ref="P3:P4"/>
    <mergeCell ref="Q3:Q4"/>
    <mergeCell ref="R3:R4"/>
    <mergeCell ref="S3:S4"/>
    <mergeCell ref="AQ2:BC2"/>
    <mergeCell ref="B1:U1"/>
    <mergeCell ref="M3:M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Y3:Y4"/>
    <mergeCell ref="N3:N4"/>
    <mergeCell ref="B2:G2"/>
    <mergeCell ref="I2:U2"/>
    <mergeCell ref="AA2:AE2"/>
    <mergeCell ref="AF2:AJ2"/>
    <mergeCell ref="AK2:AP2"/>
  </mergeCells>
  <dataValidations count="2">
    <dataValidation type="date" allowBlank="1" showInputMessage="1" showErrorMessage="1" error="FECHAS FUERA DE RANGO" sqref="AH5:AH32" xr:uid="{00000000-0002-0000-0000-000000000000}">
      <formula1>43739</formula1>
      <formula2>46387</formula2>
    </dataValidation>
    <dataValidation type="date" allowBlank="1" showInputMessage="1" showErrorMessage="1" error="FECHAS FUERA DE RANGO" sqref="AZ5:AZ32 AR5:AS32 M5:M32 AU5:AU32" xr:uid="{00000000-0002-0000-0000-000002000000}">
      <formula1>42278</formula1>
      <formula2>46387</formula2>
    </dataValidation>
  </dataValidations>
  <pageMargins left="0.7" right="0.7" top="0.75" bottom="0.75" header="0.3" footer="0.3"/>
  <pageSetup paperSize="9" orientation="portrait" r:id="rId1"/>
  <ignoredErrors>
    <ignoredError sqref="C5:E10" unlockedFormula="1"/>
  </ignoredErrors>
  <legacyDrawing r:id="rId2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00000000-0002-0000-0000-000004000000}">
          <x14:formula1>
            <xm:f>DATOS!$B$2:$B$891</xm:f>
          </x14:formula1>
          <xm:sqref>I5:I32</xm:sqref>
        </x14:dataValidation>
        <x14:dataValidation type="list" allowBlank="1" showInputMessage="1" showErrorMessage="1" xr:uid="{00000000-0002-0000-0000-000005000000}">
          <x14:formula1>
            <xm:f>DATOS!$S$2:$S$11</xm:f>
          </x14:formula1>
          <xm:sqref>Y5:Y32</xm:sqref>
        </x14:dataValidation>
        <x14:dataValidation type="list" allowBlank="1" showInputMessage="1" showErrorMessage="1" xr:uid="{00000000-0002-0000-0000-000006000000}">
          <x14:formula1>
            <xm:f>'Comunas y regiones'!$C$3:$C$348</xm:f>
          </x14:formula1>
          <xm:sqref>O5:O32</xm:sqref>
        </x14:dataValidation>
        <x14:dataValidation type="list" allowBlank="1" showInputMessage="1" showErrorMessage="1" xr:uid="{00000000-0002-0000-0000-000007000000}">
          <x14:formula1>
            <xm:f>DATOS!$Q$34:$Q$40</xm:f>
          </x14:formula1>
          <xm:sqref>AK5:AK32</xm:sqref>
        </x14:dataValidation>
        <x14:dataValidation type="list" allowBlank="1" showInputMessage="1" showErrorMessage="1" xr:uid="{00000000-0002-0000-0000-000008000000}">
          <x14:formula1>
            <xm:f>DATOS!$O$32:$O$38</xm:f>
          </x14:formula1>
          <xm:sqref>T5:T32 AG5:AG32</xm:sqref>
        </x14:dataValidation>
        <x14:dataValidation type="list" allowBlank="1" showInputMessage="1" showErrorMessage="1" xr:uid="{00000000-0002-0000-0000-000009000000}">
          <x14:formula1>
            <xm:f>DATOS!$S$15:$S$20</xm:f>
          </x14:formula1>
          <xm:sqref>AA5:AA32</xm:sqref>
        </x14:dataValidation>
        <x14:dataValidation type="list" allowBlank="1" showInputMessage="1" showErrorMessage="1" xr:uid="{00000000-0002-0000-0000-00000A000000}">
          <x14:formula1>
            <xm:f>DATOS!$Q$14:$Q$19</xm:f>
          </x14:formula1>
          <xm:sqref>X5:X32</xm:sqref>
        </x14:dataValidation>
        <x14:dataValidation type="list" allowBlank="1" showInputMessage="1" showErrorMessage="1" xr:uid="{00000000-0002-0000-0000-00000B000000}">
          <x14:formula1>
            <xm:f>DATOS!$Q$8:$Q$12</xm:f>
          </x14:formula1>
          <xm:sqref>W5:W32</xm:sqref>
        </x14:dataValidation>
        <x14:dataValidation type="list" allowBlank="1" showInputMessage="1" showErrorMessage="1" xr:uid="{00000000-0002-0000-0000-00000C000000}">
          <x14:formula1>
            <xm:f>DATOS!$Q$3:$Q$6</xm:f>
          </x14:formula1>
          <xm:sqref>V5:V32</xm:sqref>
        </x14:dataValidation>
        <x14:dataValidation type="list" allowBlank="1" showInputMessage="1" showErrorMessage="1" xr:uid="{00000000-0002-0000-0000-00000D000000}">
          <x14:formula1>
            <xm:f>DATOS!$M$2:$M$5</xm:f>
          </x14:formula1>
          <xm:sqref>AP5:AP32</xm:sqref>
        </x14:dataValidation>
        <x14:dataValidation type="list" allowBlank="1" showInputMessage="1" showErrorMessage="1" xr:uid="{00000000-0002-0000-0000-00000E000000}">
          <x14:formula1>
            <xm:f>DATOS!$O$16:$O$22</xm:f>
          </x14:formula1>
          <xm:sqref>U5:U32</xm:sqref>
        </x14:dataValidation>
        <x14:dataValidation type="list" allowBlank="1" showInputMessage="1" showErrorMessage="1" xr:uid="{00000000-0002-0000-0000-00000F000000}">
          <x14:formula1>
            <xm:f>DATOS!$O$10:$O$13</xm:f>
          </x14:formula1>
          <xm:sqref>P5:P32</xm:sqref>
        </x14:dataValidation>
        <x14:dataValidation type="list" allowBlank="1" showInputMessage="1" showErrorMessage="1" xr:uid="{00000000-0002-0000-0000-000010000000}">
          <x14:formula1>
            <xm:f>DATOS!$O$25:$O$29</xm:f>
          </x14:formula1>
          <xm:sqref>L5:L32</xm:sqref>
        </x14:dataValidation>
        <x14:dataValidation type="list" allowBlank="1" showInputMessage="1" showErrorMessage="1" xr:uid="{00000000-0002-0000-0000-000011000000}">
          <x14:formula1>
            <xm:f>DATOS!$U$3:$U$26</xm:f>
          </x14:formula1>
          <xm:sqref>H5:H32</xm:sqref>
        </x14:dataValidation>
        <x14:dataValidation type="list" allowBlank="1" showInputMessage="1" showErrorMessage="1" xr:uid="{00000000-0002-0000-0000-000012000000}">
          <x14:formula1>
            <xm:f>DATOS!$Q$26:$Q$31</xm:f>
          </x14:formula1>
          <xm:sqref>AI5:AI32</xm:sqref>
        </x14:dataValidation>
        <x14:dataValidation type="list" allowBlank="1" showInputMessage="1" showErrorMessage="1" xr:uid="{00000000-0002-0000-0000-000003000000}">
          <x14:formula1>
            <xm:f>DATOS!$U$29:$U$40</xm:f>
          </x14:formula1>
          <xm:sqref>AY5:AY32</xm:sqref>
        </x14:dataValidation>
        <x14:dataValidation type="list" allowBlank="1" showInputMessage="1" showErrorMessage="1" xr:uid="{00000000-0002-0000-0000-000001000000}">
          <x14:formula1>
            <xm:f>DATOS!$H$2:$H$39</xm:f>
          </x14:formula1>
          <xm:sqref>B5:B32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V907"/>
  <sheetViews>
    <sheetView showGridLines="0" zoomScale="90" zoomScaleNormal="90" workbookViewId="0">
      <selection activeCell="H16" sqref="H16:K16"/>
    </sheetView>
  </sheetViews>
  <sheetFormatPr baseColWidth="10" defaultColWidth="0" defaultRowHeight="12" zeroHeight="1" x14ac:dyDescent="0.2"/>
  <cols>
    <col min="1" max="1" width="4.85546875" style="11" customWidth="1"/>
    <col min="2" max="2" width="47.28515625" style="27" bestFit="1" customWidth="1"/>
    <col min="3" max="3" width="43" style="28" bestFit="1" customWidth="1"/>
    <col min="4" max="4" width="16.85546875" style="11" bestFit="1" customWidth="1"/>
    <col min="5" max="5" width="9" style="11" bestFit="1" customWidth="1"/>
    <col min="6" max="6" width="4.28515625" style="11" customWidth="1"/>
    <col min="7" max="7" width="7.5703125" style="14" customWidth="1"/>
    <col min="8" max="8" width="41" style="11" bestFit="1" customWidth="1"/>
    <col min="9" max="9" width="58.140625" style="11" customWidth="1"/>
    <col min="10" max="10" width="20.5703125" style="11" bestFit="1" customWidth="1"/>
    <col min="11" max="11" width="15.42578125" style="11" customWidth="1"/>
    <col min="12" max="12" width="11.42578125" style="11" customWidth="1"/>
    <col min="13" max="13" width="18.140625" style="11" customWidth="1"/>
    <col min="14" max="14" width="20" style="11" bestFit="1" customWidth="1"/>
    <col min="15" max="15" width="54.28515625" style="14" bestFit="1" customWidth="1"/>
    <col min="16" max="16" width="2.42578125" style="11" customWidth="1"/>
    <col min="17" max="17" width="43.42578125" style="11" bestFit="1" customWidth="1"/>
    <col min="18" max="18" width="3.5703125" style="11" customWidth="1"/>
    <col min="19" max="19" width="30.140625" style="26" customWidth="1"/>
    <col min="20" max="20" width="11.42578125" style="11" customWidth="1"/>
    <col min="21" max="21" width="74.5703125" style="11" customWidth="1"/>
    <col min="22" max="22" width="11.42578125" style="11" customWidth="1"/>
    <col min="23" max="16384" width="11.42578125" style="11" hidden="1"/>
  </cols>
  <sheetData>
    <row r="1" spans="1:21" s="7" customFormat="1" ht="42" customHeight="1" x14ac:dyDescent="0.25">
      <c r="A1" s="194" t="s">
        <v>2249</v>
      </c>
      <c r="B1" s="194" t="s">
        <v>0</v>
      </c>
      <c r="C1" s="194" t="s">
        <v>1</v>
      </c>
      <c r="D1" s="194" t="s">
        <v>1049</v>
      </c>
      <c r="E1" s="194" t="s">
        <v>2114</v>
      </c>
      <c r="F1" s="2"/>
      <c r="G1" s="181" t="s">
        <v>976</v>
      </c>
      <c r="H1" s="181" t="s">
        <v>2336</v>
      </c>
      <c r="I1" s="181" t="s">
        <v>2337</v>
      </c>
      <c r="J1" s="181" t="s">
        <v>977</v>
      </c>
      <c r="K1" s="181" t="s">
        <v>978</v>
      </c>
      <c r="M1" s="21" t="s">
        <v>1649</v>
      </c>
      <c r="N1" s="29" t="s">
        <v>1044</v>
      </c>
      <c r="O1" s="8" t="s">
        <v>1045</v>
      </c>
      <c r="P1" s="9"/>
      <c r="Q1" s="69"/>
      <c r="S1" s="73" t="s">
        <v>1739</v>
      </c>
    </row>
    <row r="2" spans="1:21" ht="15.75" customHeight="1" x14ac:dyDescent="0.2">
      <c r="A2" s="194">
        <v>1</v>
      </c>
      <c r="B2" s="160" t="s">
        <v>2</v>
      </c>
      <c r="C2" s="161" t="s">
        <v>3</v>
      </c>
      <c r="D2" s="161" t="s">
        <v>1050</v>
      </c>
      <c r="E2" s="162" t="s">
        <v>2115</v>
      </c>
      <c r="F2" s="1"/>
      <c r="G2" s="181">
        <v>1</v>
      </c>
      <c r="H2" s="203" t="s">
        <v>1447</v>
      </c>
      <c r="I2" s="204" t="s">
        <v>980</v>
      </c>
      <c r="J2" s="205" t="s">
        <v>979</v>
      </c>
      <c r="K2" s="206" t="s">
        <v>979</v>
      </c>
      <c r="M2" s="16" t="s">
        <v>1650</v>
      </c>
      <c r="N2" s="12" t="s">
        <v>1046</v>
      </c>
      <c r="O2" s="13" t="s">
        <v>2090</v>
      </c>
      <c r="Q2" s="72" t="s">
        <v>1735</v>
      </c>
      <c r="S2" s="152" t="s">
        <v>1742</v>
      </c>
      <c r="U2" s="79" t="s">
        <v>1445</v>
      </c>
    </row>
    <row r="3" spans="1:21" x14ac:dyDescent="0.2">
      <c r="A3" s="194">
        <v>2</v>
      </c>
      <c r="B3" s="160" t="s">
        <v>4</v>
      </c>
      <c r="C3" s="161" t="s">
        <v>1771</v>
      </c>
      <c r="D3" s="161" t="s">
        <v>1050</v>
      </c>
      <c r="E3" s="162" t="s">
        <v>2116</v>
      </c>
      <c r="F3" s="1"/>
      <c r="G3" s="181">
        <v>2</v>
      </c>
      <c r="H3" s="207" t="s">
        <v>1448</v>
      </c>
      <c r="I3" s="183" t="s">
        <v>980</v>
      </c>
      <c r="J3" s="182" t="s">
        <v>981</v>
      </c>
      <c r="K3" s="184" t="s">
        <v>982</v>
      </c>
      <c r="M3" s="16" t="s">
        <v>2033</v>
      </c>
      <c r="N3" s="12" t="s">
        <v>1446</v>
      </c>
      <c r="O3" s="19" t="s">
        <v>2299</v>
      </c>
      <c r="Q3" s="70" t="s">
        <v>1736</v>
      </c>
      <c r="S3" s="152" t="s">
        <v>1743</v>
      </c>
      <c r="U3" s="80" t="s">
        <v>2047</v>
      </c>
    </row>
    <row r="4" spans="1:21" x14ac:dyDescent="0.2">
      <c r="A4" s="194">
        <v>3</v>
      </c>
      <c r="B4" s="160" t="s">
        <v>6</v>
      </c>
      <c r="C4" s="161" t="s">
        <v>2304</v>
      </c>
      <c r="D4" s="161" t="s">
        <v>1050</v>
      </c>
      <c r="E4" s="162" t="s">
        <v>2115</v>
      </c>
      <c r="F4" s="1"/>
      <c r="G4" s="181">
        <v>3</v>
      </c>
      <c r="H4" s="207" t="s">
        <v>1449</v>
      </c>
      <c r="I4" s="183" t="s">
        <v>985</v>
      </c>
      <c r="J4" s="182" t="s">
        <v>983</v>
      </c>
      <c r="K4" s="184" t="s">
        <v>984</v>
      </c>
      <c r="M4" s="16" t="s">
        <v>1651</v>
      </c>
      <c r="O4" s="19" t="s">
        <v>2300</v>
      </c>
      <c r="Q4" s="70" t="s">
        <v>2084</v>
      </c>
      <c r="S4" s="152" t="s">
        <v>1744</v>
      </c>
      <c r="U4" s="80" t="s">
        <v>2048</v>
      </c>
    </row>
    <row r="5" spans="1:21" x14ac:dyDescent="0.2">
      <c r="A5" s="194">
        <v>4</v>
      </c>
      <c r="B5" s="160" t="s">
        <v>2117</v>
      </c>
      <c r="C5" s="161" t="s">
        <v>1773</v>
      </c>
      <c r="D5" s="161" t="s">
        <v>1050</v>
      </c>
      <c r="E5" s="162" t="s">
        <v>2115</v>
      </c>
      <c r="F5" s="1"/>
      <c r="G5" s="181">
        <v>4</v>
      </c>
      <c r="H5" s="207" t="s">
        <v>1450</v>
      </c>
      <c r="I5" s="183" t="s">
        <v>988</v>
      </c>
      <c r="J5" s="182" t="s">
        <v>989</v>
      </c>
      <c r="K5" s="184" t="s">
        <v>989</v>
      </c>
      <c r="M5" s="16" t="s">
        <v>2091</v>
      </c>
      <c r="O5" s="19" t="s">
        <v>2301</v>
      </c>
      <c r="Q5" s="70" t="s">
        <v>1737</v>
      </c>
      <c r="S5" s="152" t="s">
        <v>1740</v>
      </c>
      <c r="U5" s="80" t="s">
        <v>2049</v>
      </c>
    </row>
    <row r="6" spans="1:21" x14ac:dyDescent="0.2">
      <c r="A6" s="194">
        <v>5</v>
      </c>
      <c r="B6" s="160" t="s">
        <v>1772</v>
      </c>
      <c r="C6" s="161" t="s">
        <v>1773</v>
      </c>
      <c r="D6" s="161" t="s">
        <v>1050</v>
      </c>
      <c r="E6" s="162" t="s">
        <v>2115</v>
      </c>
      <c r="F6" s="1"/>
      <c r="G6" s="181">
        <v>5</v>
      </c>
      <c r="H6" s="208" t="s">
        <v>2338</v>
      </c>
      <c r="I6" s="186" t="s">
        <v>988</v>
      </c>
      <c r="J6" s="185" t="s">
        <v>2339</v>
      </c>
      <c r="K6" s="187" t="s">
        <v>1289</v>
      </c>
      <c r="O6" s="19" t="s">
        <v>2302</v>
      </c>
      <c r="Q6" s="70"/>
      <c r="S6" s="152" t="s">
        <v>2085</v>
      </c>
      <c r="U6" s="80" t="s">
        <v>1615</v>
      </c>
    </row>
    <row r="7" spans="1:21" x14ac:dyDescent="0.2">
      <c r="A7" s="194">
        <v>6</v>
      </c>
      <c r="B7" s="160" t="s">
        <v>1774</v>
      </c>
      <c r="C7" s="161" t="s">
        <v>7</v>
      </c>
      <c r="D7" s="161" t="s">
        <v>1051</v>
      </c>
      <c r="E7" s="162" t="s">
        <v>2116</v>
      </c>
      <c r="F7" s="1"/>
      <c r="G7" s="181">
        <v>6</v>
      </c>
      <c r="H7" s="207" t="s">
        <v>1451</v>
      </c>
      <c r="I7" s="183" t="s">
        <v>991</v>
      </c>
      <c r="J7" s="182" t="s">
        <v>990</v>
      </c>
      <c r="K7" s="184" t="s">
        <v>990</v>
      </c>
      <c r="M7" s="22" t="s">
        <v>1757</v>
      </c>
      <c r="O7" s="19" t="s">
        <v>1043</v>
      </c>
      <c r="Q7" s="71" t="s">
        <v>1661</v>
      </c>
      <c r="S7" s="152" t="s">
        <v>1745</v>
      </c>
      <c r="U7" s="80" t="s">
        <v>2050</v>
      </c>
    </row>
    <row r="8" spans="1:21" x14ac:dyDescent="0.2">
      <c r="A8" s="194">
        <v>7</v>
      </c>
      <c r="B8" s="160" t="s">
        <v>9</v>
      </c>
      <c r="C8" s="161" t="s">
        <v>1775</v>
      </c>
      <c r="D8" s="161" t="s">
        <v>1050</v>
      </c>
      <c r="E8" s="162" t="s">
        <v>2115</v>
      </c>
      <c r="F8" s="1"/>
      <c r="G8" s="181">
        <v>7</v>
      </c>
      <c r="H8" s="207" t="s">
        <v>1452</v>
      </c>
      <c r="I8" s="183" t="s">
        <v>991</v>
      </c>
      <c r="J8" s="182" t="s">
        <v>992</v>
      </c>
      <c r="K8" s="184" t="s">
        <v>993</v>
      </c>
      <c r="M8" s="22" t="s">
        <v>1758</v>
      </c>
      <c r="Q8" s="70" t="s">
        <v>1650</v>
      </c>
      <c r="S8" s="152" t="s">
        <v>1746</v>
      </c>
      <c r="U8" s="80" t="s">
        <v>2051</v>
      </c>
    </row>
    <row r="9" spans="1:21" x14ac:dyDescent="0.2">
      <c r="A9" s="194">
        <v>8</v>
      </c>
      <c r="B9" s="160" t="s">
        <v>11</v>
      </c>
      <c r="C9" s="161" t="s">
        <v>1479</v>
      </c>
      <c r="D9" s="161" t="s">
        <v>1050</v>
      </c>
      <c r="E9" s="162" t="s">
        <v>2115</v>
      </c>
      <c r="F9" s="1"/>
      <c r="G9" s="181">
        <v>8</v>
      </c>
      <c r="H9" s="207" t="s">
        <v>1453</v>
      </c>
      <c r="I9" s="183" t="s">
        <v>996</v>
      </c>
      <c r="J9" s="182" t="s">
        <v>994</v>
      </c>
      <c r="K9" s="184" t="s">
        <v>995</v>
      </c>
      <c r="M9" s="22" t="s">
        <v>1759</v>
      </c>
      <c r="O9" s="15" t="s">
        <v>1621</v>
      </c>
      <c r="Q9" s="70" t="s">
        <v>1767</v>
      </c>
      <c r="S9" s="152" t="s">
        <v>2086</v>
      </c>
      <c r="U9" s="80" t="s">
        <v>2052</v>
      </c>
    </row>
    <row r="10" spans="1:21" x14ac:dyDescent="0.2">
      <c r="A10" s="194">
        <v>9</v>
      </c>
      <c r="B10" s="160" t="s">
        <v>12</v>
      </c>
      <c r="C10" s="161" t="s">
        <v>2232</v>
      </c>
      <c r="D10" s="161" t="s">
        <v>1050</v>
      </c>
      <c r="E10" s="162" t="s">
        <v>2116</v>
      </c>
      <c r="F10" s="1"/>
      <c r="G10" s="181">
        <v>9</v>
      </c>
      <c r="H10" s="207" t="s">
        <v>1642</v>
      </c>
      <c r="I10" s="183" t="s">
        <v>999</v>
      </c>
      <c r="J10" s="182" t="s">
        <v>1000</v>
      </c>
      <c r="K10" s="184" t="s">
        <v>1242</v>
      </c>
      <c r="M10" s="22" t="s">
        <v>2298</v>
      </c>
      <c r="O10" s="16">
        <v>12</v>
      </c>
      <c r="Q10" s="70" t="s">
        <v>2088</v>
      </c>
      <c r="S10" s="152" t="s">
        <v>1768</v>
      </c>
      <c r="U10" s="80" t="s">
        <v>2053</v>
      </c>
    </row>
    <row r="11" spans="1:21" x14ac:dyDescent="0.2">
      <c r="A11" s="194">
        <v>10</v>
      </c>
      <c r="B11" s="160" t="s">
        <v>1776</v>
      </c>
      <c r="C11" s="161" t="s">
        <v>1777</v>
      </c>
      <c r="D11" s="161" t="s">
        <v>1050</v>
      </c>
      <c r="E11" s="162" t="s">
        <v>2116</v>
      </c>
      <c r="F11" s="1"/>
      <c r="G11" s="181">
        <v>10</v>
      </c>
      <c r="H11" s="207" t="s">
        <v>1456</v>
      </c>
      <c r="I11" s="183" t="s">
        <v>999</v>
      </c>
      <c r="J11" s="182" t="s">
        <v>1000</v>
      </c>
      <c r="K11" s="184" t="s">
        <v>1000</v>
      </c>
      <c r="M11" s="22" t="s">
        <v>1760</v>
      </c>
      <c r="O11" s="16">
        <v>17</v>
      </c>
      <c r="Q11" s="70"/>
      <c r="S11" s="152" t="s">
        <v>1741</v>
      </c>
      <c r="U11" s="80" t="s">
        <v>1047</v>
      </c>
    </row>
    <row r="12" spans="1:21" x14ac:dyDescent="0.2">
      <c r="A12" s="194">
        <v>11</v>
      </c>
      <c r="B12" s="160" t="s">
        <v>1052</v>
      </c>
      <c r="C12" s="161" t="s">
        <v>1778</v>
      </c>
      <c r="D12" s="161" t="s">
        <v>1050</v>
      </c>
      <c r="E12" s="162" t="s">
        <v>2116</v>
      </c>
      <c r="F12" s="1"/>
      <c r="G12" s="181">
        <v>11</v>
      </c>
      <c r="H12" s="207" t="s">
        <v>1454</v>
      </c>
      <c r="I12" s="183" t="s">
        <v>999</v>
      </c>
      <c r="J12" s="182" t="s">
        <v>997</v>
      </c>
      <c r="K12" s="184" t="s">
        <v>998</v>
      </c>
      <c r="M12" s="22" t="s">
        <v>1656</v>
      </c>
      <c r="O12" s="16">
        <v>18</v>
      </c>
      <c r="Q12" s="75"/>
      <c r="U12" s="80" t="s">
        <v>2054</v>
      </c>
    </row>
    <row r="13" spans="1:21" x14ac:dyDescent="0.2">
      <c r="A13" s="194">
        <v>12</v>
      </c>
      <c r="B13" s="160" t="s">
        <v>1779</v>
      </c>
      <c r="C13" s="161" t="s">
        <v>1480</v>
      </c>
      <c r="D13" s="161" t="s">
        <v>1050</v>
      </c>
      <c r="E13" s="162" t="s">
        <v>2116</v>
      </c>
      <c r="F13" s="1"/>
      <c r="G13" s="181">
        <v>12</v>
      </c>
      <c r="H13" s="207" t="s">
        <v>1455</v>
      </c>
      <c r="I13" s="183" t="s">
        <v>999</v>
      </c>
      <c r="J13" s="182" t="s">
        <v>1003</v>
      </c>
      <c r="K13" s="184" t="s">
        <v>1004</v>
      </c>
      <c r="M13" s="22" t="s">
        <v>1765</v>
      </c>
      <c r="O13" s="16">
        <v>19</v>
      </c>
      <c r="Q13" s="150" t="s">
        <v>1660</v>
      </c>
      <c r="U13" s="80" t="s">
        <v>2055</v>
      </c>
    </row>
    <row r="14" spans="1:21" x14ac:dyDescent="0.2">
      <c r="A14" s="194">
        <v>13</v>
      </c>
      <c r="B14" s="160" t="s">
        <v>13</v>
      </c>
      <c r="C14" s="161" t="s">
        <v>20</v>
      </c>
      <c r="D14" s="161" t="s">
        <v>1050</v>
      </c>
      <c r="E14" s="162" t="s">
        <v>2116</v>
      </c>
      <c r="F14" s="1"/>
      <c r="G14" s="181">
        <v>13</v>
      </c>
      <c r="H14" s="207" t="s">
        <v>1457</v>
      </c>
      <c r="I14" s="183" t="s">
        <v>2340</v>
      </c>
      <c r="J14" s="182" t="s">
        <v>1005</v>
      </c>
      <c r="K14" s="184" t="s">
        <v>1006</v>
      </c>
      <c r="M14" s="22" t="s">
        <v>1761</v>
      </c>
      <c r="Q14" s="151" t="s">
        <v>1747</v>
      </c>
      <c r="S14" s="158" t="s">
        <v>1750</v>
      </c>
      <c r="U14" s="80" t="s">
        <v>2056</v>
      </c>
    </row>
    <row r="15" spans="1:21" x14ac:dyDescent="0.2">
      <c r="A15" s="194">
        <v>14</v>
      </c>
      <c r="B15" s="160" t="s">
        <v>14</v>
      </c>
      <c r="C15" s="161" t="s">
        <v>1780</v>
      </c>
      <c r="D15" s="161" t="s">
        <v>1050</v>
      </c>
      <c r="E15" s="162" t="s">
        <v>2116</v>
      </c>
      <c r="F15" s="1"/>
      <c r="G15" s="181">
        <v>14</v>
      </c>
      <c r="H15" s="207" t="s">
        <v>1458</v>
      </c>
      <c r="I15" s="183" t="s">
        <v>1008</v>
      </c>
      <c r="J15" s="182" t="s">
        <v>1010</v>
      </c>
      <c r="K15" s="184" t="s">
        <v>1011</v>
      </c>
      <c r="M15" s="22" t="s">
        <v>1770</v>
      </c>
      <c r="O15" s="17" t="s">
        <v>1606</v>
      </c>
      <c r="Q15" s="151" t="s">
        <v>2089</v>
      </c>
      <c r="S15" s="156"/>
      <c r="U15" s="80" t="s">
        <v>2057</v>
      </c>
    </row>
    <row r="16" spans="1:21" x14ac:dyDescent="0.2">
      <c r="A16" s="194">
        <v>15</v>
      </c>
      <c r="B16" s="160" t="s">
        <v>15</v>
      </c>
      <c r="C16" s="161" t="s">
        <v>1481</v>
      </c>
      <c r="D16" s="161" t="s">
        <v>1050</v>
      </c>
      <c r="E16" s="162" t="s">
        <v>2116</v>
      </c>
      <c r="F16" s="1"/>
      <c r="G16" s="181">
        <v>15</v>
      </c>
      <c r="H16" s="209" t="s">
        <v>2374</v>
      </c>
      <c r="I16" s="183" t="s">
        <v>1008</v>
      </c>
      <c r="J16" s="182" t="s">
        <v>1007</v>
      </c>
      <c r="K16" s="184" t="s">
        <v>1007</v>
      </c>
      <c r="O16" s="18" t="s">
        <v>1607</v>
      </c>
      <c r="Q16" s="151" t="s">
        <v>2079</v>
      </c>
      <c r="S16" s="156" t="s">
        <v>1749</v>
      </c>
      <c r="U16" s="80" t="s">
        <v>2058</v>
      </c>
    </row>
    <row r="17" spans="1:21" x14ac:dyDescent="0.2">
      <c r="A17" s="194">
        <v>16</v>
      </c>
      <c r="B17" s="160" t="s">
        <v>1781</v>
      </c>
      <c r="C17" s="161" t="s">
        <v>1782</v>
      </c>
      <c r="D17" s="161" t="s">
        <v>1050</v>
      </c>
      <c r="E17" s="162" t="s">
        <v>2116</v>
      </c>
      <c r="F17" s="1"/>
      <c r="G17" s="181">
        <v>16</v>
      </c>
      <c r="H17" s="207" t="s">
        <v>1459</v>
      </c>
      <c r="I17" s="183" t="s">
        <v>2341</v>
      </c>
      <c r="J17" s="182" t="s">
        <v>1014</v>
      </c>
      <c r="K17" s="184" t="s">
        <v>1015</v>
      </c>
      <c r="O17" s="18" t="s">
        <v>1613</v>
      </c>
      <c r="Q17" s="151" t="s">
        <v>2087</v>
      </c>
      <c r="S17" s="156" t="s">
        <v>1748</v>
      </c>
      <c r="U17" s="80" t="s">
        <v>2059</v>
      </c>
    </row>
    <row r="18" spans="1:21" x14ac:dyDescent="0.2">
      <c r="A18" s="194">
        <v>17</v>
      </c>
      <c r="B18" s="160" t="s">
        <v>16</v>
      </c>
      <c r="C18" s="161" t="s">
        <v>1783</v>
      </c>
      <c r="D18" s="161" t="s">
        <v>1050</v>
      </c>
      <c r="E18" s="162" t="s">
        <v>2115</v>
      </c>
      <c r="F18" s="1"/>
      <c r="G18" s="181">
        <v>17</v>
      </c>
      <c r="H18" s="207" t="s">
        <v>1460</v>
      </c>
      <c r="I18" s="183" t="s">
        <v>2341</v>
      </c>
      <c r="J18" s="182" t="s">
        <v>1016</v>
      </c>
      <c r="K18" s="184" t="s">
        <v>1017</v>
      </c>
      <c r="O18" s="18" t="s">
        <v>1608</v>
      </c>
      <c r="Q18" s="151" t="s">
        <v>1738</v>
      </c>
      <c r="S18" s="156" t="s">
        <v>1752</v>
      </c>
      <c r="U18" s="80" t="s">
        <v>2060</v>
      </c>
    </row>
    <row r="19" spans="1:21" x14ac:dyDescent="0.2">
      <c r="A19" s="194">
        <v>18</v>
      </c>
      <c r="B19" s="160" t="s">
        <v>17</v>
      </c>
      <c r="C19" s="161" t="s">
        <v>1784</v>
      </c>
      <c r="D19" s="161" t="s">
        <v>1050</v>
      </c>
      <c r="E19" s="162" t="s">
        <v>2116</v>
      </c>
      <c r="F19" s="1"/>
      <c r="G19" s="181">
        <v>18</v>
      </c>
      <c r="H19" s="207" t="s">
        <v>1461</v>
      </c>
      <c r="I19" s="183" t="s">
        <v>2341</v>
      </c>
      <c r="J19" s="182" t="s">
        <v>1012</v>
      </c>
      <c r="K19" s="184" t="s">
        <v>1018</v>
      </c>
      <c r="O19" s="18" t="s">
        <v>1623</v>
      </c>
      <c r="Q19" s="151" t="s">
        <v>1753</v>
      </c>
      <c r="S19" s="156"/>
      <c r="U19" s="80" t="s">
        <v>2061</v>
      </c>
    </row>
    <row r="20" spans="1:21" x14ac:dyDescent="0.2">
      <c r="A20" s="194">
        <v>19</v>
      </c>
      <c r="B20" s="160" t="s">
        <v>1785</v>
      </c>
      <c r="C20" s="161" t="s">
        <v>8</v>
      </c>
      <c r="D20" s="161" t="s">
        <v>1050</v>
      </c>
      <c r="E20" s="162" t="s">
        <v>2116</v>
      </c>
      <c r="F20" s="1"/>
      <c r="G20" s="181">
        <v>19</v>
      </c>
      <c r="H20" s="207" t="s">
        <v>1462</v>
      </c>
      <c r="I20" s="183" t="s">
        <v>1022</v>
      </c>
      <c r="J20" s="182" t="s">
        <v>1020</v>
      </c>
      <c r="K20" s="184" t="s">
        <v>1021</v>
      </c>
      <c r="O20" s="19" t="s">
        <v>1616</v>
      </c>
      <c r="S20" s="157"/>
      <c r="U20" s="80" t="s">
        <v>2062</v>
      </c>
    </row>
    <row r="21" spans="1:21" x14ac:dyDescent="0.2">
      <c r="A21" s="194">
        <v>20</v>
      </c>
      <c r="B21" s="160" t="s">
        <v>18</v>
      </c>
      <c r="C21" s="161" t="s">
        <v>18</v>
      </c>
      <c r="D21" s="161" t="s">
        <v>1050</v>
      </c>
      <c r="E21" s="162" t="s">
        <v>2116</v>
      </c>
      <c r="F21" s="1"/>
      <c r="G21" s="181">
        <v>20</v>
      </c>
      <c r="H21" s="207" t="s">
        <v>1463</v>
      </c>
      <c r="I21" s="183" t="s">
        <v>1022</v>
      </c>
      <c r="J21" s="182" t="s">
        <v>1023</v>
      </c>
      <c r="K21" s="184" t="s">
        <v>1024</v>
      </c>
      <c r="O21" s="19" t="s">
        <v>1614</v>
      </c>
      <c r="Q21" s="74"/>
      <c r="U21" s="80" t="s">
        <v>1048</v>
      </c>
    </row>
    <row r="22" spans="1:21" x14ac:dyDescent="0.2">
      <c r="A22" s="194">
        <v>21</v>
      </c>
      <c r="B22" s="160" t="s">
        <v>19</v>
      </c>
      <c r="C22" s="161" t="s">
        <v>1786</v>
      </c>
      <c r="D22" s="161" t="s">
        <v>1050</v>
      </c>
      <c r="E22" s="162" t="s">
        <v>2116</v>
      </c>
      <c r="F22" s="1"/>
      <c r="G22" s="181">
        <v>21</v>
      </c>
      <c r="H22" s="208" t="s">
        <v>1477</v>
      </c>
      <c r="I22" s="186" t="s">
        <v>1464</v>
      </c>
      <c r="J22" s="185" t="s">
        <v>964</v>
      </c>
      <c r="K22" s="187" t="s">
        <v>1291</v>
      </c>
      <c r="O22" s="19" t="s">
        <v>1644</v>
      </c>
      <c r="U22" s="80" t="s">
        <v>2063</v>
      </c>
    </row>
    <row r="23" spans="1:21" x14ac:dyDescent="0.2">
      <c r="A23" s="194">
        <v>22</v>
      </c>
      <c r="B23" s="160" t="s">
        <v>2118</v>
      </c>
      <c r="C23" s="161" t="s">
        <v>10</v>
      </c>
      <c r="D23" s="161" t="s">
        <v>1050</v>
      </c>
      <c r="E23" s="162" t="s">
        <v>2116</v>
      </c>
      <c r="F23" s="1"/>
      <c r="G23" s="181">
        <v>22</v>
      </c>
      <c r="H23" s="208" t="s">
        <v>2342</v>
      </c>
      <c r="I23" s="186" t="s">
        <v>1464</v>
      </c>
      <c r="J23" s="185" t="s">
        <v>964</v>
      </c>
      <c r="K23" s="187" t="s">
        <v>1319</v>
      </c>
      <c r="Q23" s="74"/>
      <c r="U23" s="80" t="s">
        <v>51</v>
      </c>
    </row>
    <row r="24" spans="1:21" x14ac:dyDescent="0.2">
      <c r="A24" s="194">
        <v>23</v>
      </c>
      <c r="B24" s="160" t="s">
        <v>1787</v>
      </c>
      <c r="C24" s="161" t="s">
        <v>10</v>
      </c>
      <c r="D24" s="161" t="s">
        <v>1050</v>
      </c>
      <c r="E24" s="162" t="s">
        <v>2116</v>
      </c>
      <c r="F24" s="1"/>
      <c r="G24" s="181">
        <v>23</v>
      </c>
      <c r="H24" s="208" t="s">
        <v>2343</v>
      </c>
      <c r="I24" s="186" t="s">
        <v>1464</v>
      </c>
      <c r="J24" s="185" t="s">
        <v>964</v>
      </c>
      <c r="K24" s="187" t="s">
        <v>1226</v>
      </c>
      <c r="O24" s="21" t="s">
        <v>1609</v>
      </c>
      <c r="U24" s="80" t="s">
        <v>2075</v>
      </c>
    </row>
    <row r="25" spans="1:21" x14ac:dyDescent="0.2">
      <c r="A25" s="194">
        <v>24</v>
      </c>
      <c r="B25" s="160" t="s">
        <v>21</v>
      </c>
      <c r="C25" s="161" t="s">
        <v>1788</v>
      </c>
      <c r="D25" s="161" t="s">
        <v>1050</v>
      </c>
      <c r="E25" s="162" t="s">
        <v>2115</v>
      </c>
      <c r="F25" s="1"/>
      <c r="G25" s="181">
        <v>24</v>
      </c>
      <c r="H25" s="208" t="s">
        <v>2344</v>
      </c>
      <c r="I25" s="186" t="s">
        <v>1464</v>
      </c>
      <c r="J25" s="185" t="s">
        <v>1465</v>
      </c>
      <c r="K25" s="187" t="s">
        <v>1253</v>
      </c>
      <c r="O25" s="16" t="s">
        <v>1610</v>
      </c>
      <c r="Q25" s="20" t="s">
        <v>1622</v>
      </c>
      <c r="U25" s="80" t="s">
        <v>2076</v>
      </c>
    </row>
    <row r="26" spans="1:21" x14ac:dyDescent="0.2">
      <c r="A26" s="194">
        <v>25</v>
      </c>
      <c r="B26" s="160" t="s">
        <v>22</v>
      </c>
      <c r="C26" s="161" t="s">
        <v>23</v>
      </c>
      <c r="D26" s="161" t="s">
        <v>1050</v>
      </c>
      <c r="E26" s="162" t="s">
        <v>2116</v>
      </c>
      <c r="F26" s="1"/>
      <c r="G26" s="181">
        <v>25</v>
      </c>
      <c r="H26" s="208" t="s">
        <v>2345</v>
      </c>
      <c r="I26" s="186" t="s">
        <v>1464</v>
      </c>
      <c r="J26" s="185" t="s">
        <v>1465</v>
      </c>
      <c r="K26" s="187" t="s">
        <v>1252</v>
      </c>
      <c r="O26" s="16" t="s">
        <v>1611</v>
      </c>
      <c r="Q26" s="22" t="s">
        <v>1766</v>
      </c>
      <c r="U26" s="139" t="s">
        <v>2064</v>
      </c>
    </row>
    <row r="27" spans="1:21" x14ac:dyDescent="0.2">
      <c r="A27" s="194">
        <v>26</v>
      </c>
      <c r="B27" s="160" t="s">
        <v>1482</v>
      </c>
      <c r="C27" s="161" t="s">
        <v>1789</v>
      </c>
      <c r="D27" s="161" t="s">
        <v>1050</v>
      </c>
      <c r="E27" s="162" t="s">
        <v>2115</v>
      </c>
      <c r="F27" s="1"/>
      <c r="G27" s="181">
        <v>26</v>
      </c>
      <c r="H27" s="209" t="s">
        <v>2346</v>
      </c>
      <c r="I27" s="186" t="s">
        <v>1464</v>
      </c>
      <c r="J27" s="185" t="s">
        <v>1465</v>
      </c>
      <c r="K27" s="187" t="s">
        <v>1252</v>
      </c>
      <c r="M27" s="170"/>
      <c r="O27" s="16" t="s">
        <v>2046</v>
      </c>
      <c r="Q27" s="22" t="s">
        <v>1645</v>
      </c>
    </row>
    <row r="28" spans="1:21" x14ac:dyDescent="0.2">
      <c r="A28" s="194">
        <v>27</v>
      </c>
      <c r="B28" s="160" t="s">
        <v>1053</v>
      </c>
      <c r="C28" s="161" t="s">
        <v>1790</v>
      </c>
      <c r="D28" s="161" t="s">
        <v>1050</v>
      </c>
      <c r="E28" s="162" t="s">
        <v>2116</v>
      </c>
      <c r="F28" s="1"/>
      <c r="G28" s="181">
        <v>27</v>
      </c>
      <c r="H28" s="207" t="s">
        <v>1478</v>
      </c>
      <c r="I28" s="183" t="s">
        <v>1467</v>
      </c>
      <c r="J28" s="182" t="s">
        <v>1466</v>
      </c>
      <c r="K28" s="184" t="s">
        <v>1209</v>
      </c>
      <c r="M28" s="170"/>
      <c r="O28" s="16" t="s">
        <v>1612</v>
      </c>
      <c r="Q28" s="22" t="s">
        <v>1624</v>
      </c>
      <c r="U28" s="153" t="s">
        <v>2034</v>
      </c>
    </row>
    <row r="29" spans="1:21" x14ac:dyDescent="0.2">
      <c r="A29" s="194">
        <v>28</v>
      </c>
      <c r="B29" s="160" t="s">
        <v>1054</v>
      </c>
      <c r="C29" s="161" t="s">
        <v>1791</v>
      </c>
      <c r="D29" s="161" t="s">
        <v>1050</v>
      </c>
      <c r="E29" s="162" t="s">
        <v>2116</v>
      </c>
      <c r="F29" s="1"/>
      <c r="G29" s="181">
        <v>28</v>
      </c>
      <c r="H29" s="207" t="s">
        <v>2065</v>
      </c>
      <c r="I29" s="183" t="s">
        <v>2347</v>
      </c>
      <c r="J29" s="182" t="s">
        <v>1029</v>
      </c>
      <c r="K29" s="184" t="s">
        <v>2066</v>
      </c>
      <c r="M29" s="170"/>
      <c r="O29" s="16" t="s">
        <v>1643</v>
      </c>
      <c r="Q29" s="23" t="s">
        <v>2230</v>
      </c>
      <c r="U29" s="154" t="s">
        <v>2035</v>
      </c>
    </row>
    <row r="30" spans="1:21" x14ac:dyDescent="0.2">
      <c r="A30" s="194">
        <v>29</v>
      </c>
      <c r="B30" s="160" t="s">
        <v>1055</v>
      </c>
      <c r="C30" s="161" t="s">
        <v>1792</v>
      </c>
      <c r="D30" s="161" t="s">
        <v>1050</v>
      </c>
      <c r="E30" s="162" t="s">
        <v>2116</v>
      </c>
      <c r="F30" s="1"/>
      <c r="G30" s="181">
        <v>29</v>
      </c>
      <c r="H30" s="207" t="s">
        <v>1468</v>
      </c>
      <c r="I30" s="183" t="s">
        <v>2347</v>
      </c>
      <c r="J30" s="182" t="s">
        <v>1025</v>
      </c>
      <c r="K30" s="184" t="s">
        <v>1026</v>
      </c>
      <c r="M30" s="170"/>
      <c r="Q30" s="23" t="s">
        <v>2231</v>
      </c>
      <c r="U30" s="154" t="s">
        <v>2036</v>
      </c>
    </row>
    <row r="31" spans="1:21" x14ac:dyDescent="0.2">
      <c r="A31" s="194">
        <v>30</v>
      </c>
      <c r="B31" s="160" t="s">
        <v>1056</v>
      </c>
      <c r="C31" s="161" t="s">
        <v>1793</v>
      </c>
      <c r="D31" s="161" t="s">
        <v>1050</v>
      </c>
      <c r="E31" s="162" t="s">
        <v>2116</v>
      </c>
      <c r="F31" s="1"/>
      <c r="G31" s="181">
        <v>30</v>
      </c>
      <c r="H31" s="207" t="s">
        <v>1469</v>
      </c>
      <c r="I31" s="183" t="s">
        <v>2347</v>
      </c>
      <c r="J31" s="182" t="s">
        <v>1027</v>
      </c>
      <c r="K31" s="184" t="s">
        <v>1027</v>
      </c>
      <c r="M31" s="170"/>
      <c r="O31" s="25" t="s">
        <v>1618</v>
      </c>
      <c r="Q31" s="22" t="s">
        <v>2092</v>
      </c>
      <c r="U31" s="154" t="s">
        <v>2352</v>
      </c>
    </row>
    <row r="32" spans="1:21" x14ac:dyDescent="0.2">
      <c r="A32" s="194">
        <v>31</v>
      </c>
      <c r="B32" s="160" t="s">
        <v>1057</v>
      </c>
      <c r="C32" s="161" t="s">
        <v>1794</v>
      </c>
      <c r="D32" s="161" t="s">
        <v>1050</v>
      </c>
      <c r="E32" s="162" t="s">
        <v>2116</v>
      </c>
      <c r="F32" s="1"/>
      <c r="G32" s="181">
        <v>31</v>
      </c>
      <c r="H32" s="207" t="s">
        <v>1470</v>
      </c>
      <c r="I32" s="183" t="s">
        <v>2347</v>
      </c>
      <c r="J32" s="182" t="s">
        <v>1030</v>
      </c>
      <c r="K32" s="184" t="s">
        <v>1030</v>
      </c>
      <c r="O32" s="13" t="s">
        <v>1763</v>
      </c>
      <c r="U32" s="154" t="s">
        <v>2037</v>
      </c>
    </row>
    <row r="33" spans="1:21" x14ac:dyDescent="0.2">
      <c r="A33" s="194">
        <v>32</v>
      </c>
      <c r="B33" s="160" t="s">
        <v>2119</v>
      </c>
      <c r="C33" s="162" t="s">
        <v>2120</v>
      </c>
      <c r="D33" s="161" t="s">
        <v>1050</v>
      </c>
      <c r="E33" s="162" t="s">
        <v>2116</v>
      </c>
      <c r="F33" s="1"/>
      <c r="G33" s="181">
        <v>32</v>
      </c>
      <c r="H33" s="207" t="s">
        <v>1471</v>
      </c>
      <c r="I33" s="183" t="s">
        <v>1033</v>
      </c>
      <c r="J33" s="182" t="s">
        <v>1031</v>
      </c>
      <c r="K33" s="184" t="s">
        <v>1032</v>
      </c>
      <c r="O33" s="14" t="s">
        <v>1764</v>
      </c>
      <c r="Q33" s="24" t="s">
        <v>1625</v>
      </c>
      <c r="U33" s="154" t="s">
        <v>2038</v>
      </c>
    </row>
    <row r="34" spans="1:21" x14ac:dyDescent="0.2">
      <c r="A34" s="194">
        <v>33</v>
      </c>
      <c r="B34" s="160" t="s">
        <v>1058</v>
      </c>
      <c r="C34" s="161" t="s">
        <v>1795</v>
      </c>
      <c r="D34" s="161" t="s">
        <v>1050</v>
      </c>
      <c r="E34" s="162" t="s">
        <v>2354</v>
      </c>
      <c r="F34" s="1"/>
      <c r="G34" s="181">
        <v>33</v>
      </c>
      <c r="H34" s="207" t="s">
        <v>1472</v>
      </c>
      <c r="I34" s="183" t="s">
        <v>1033</v>
      </c>
      <c r="J34" s="182" t="s">
        <v>1034</v>
      </c>
      <c r="K34" s="184" t="s">
        <v>1035</v>
      </c>
      <c r="O34" s="13" t="s">
        <v>1762</v>
      </c>
      <c r="Q34" s="22" t="s">
        <v>1626</v>
      </c>
      <c r="U34" s="154" t="s">
        <v>2043</v>
      </c>
    </row>
    <row r="35" spans="1:21" x14ac:dyDescent="0.2">
      <c r="A35" s="194">
        <v>34</v>
      </c>
      <c r="B35" s="160" t="s">
        <v>1060</v>
      </c>
      <c r="C35" s="161" t="s">
        <v>497</v>
      </c>
      <c r="D35" s="161" t="s">
        <v>1070</v>
      </c>
      <c r="E35" s="162" t="s">
        <v>2115</v>
      </c>
      <c r="F35" s="1"/>
      <c r="G35" s="181">
        <v>34</v>
      </c>
      <c r="H35" s="207" t="s">
        <v>1473</v>
      </c>
      <c r="I35" s="183" t="s">
        <v>2348</v>
      </c>
      <c r="J35" s="182" t="s">
        <v>1036</v>
      </c>
      <c r="K35" s="184" t="s">
        <v>1037</v>
      </c>
      <c r="O35" s="13" t="s">
        <v>1617</v>
      </c>
      <c r="Q35" s="22" t="s">
        <v>1627</v>
      </c>
      <c r="U35" s="154" t="s">
        <v>2040</v>
      </c>
    </row>
    <row r="36" spans="1:21" x14ac:dyDescent="0.2">
      <c r="A36" s="194">
        <v>35</v>
      </c>
      <c r="B36" s="160" t="s">
        <v>1061</v>
      </c>
      <c r="C36" s="161" t="s">
        <v>2305</v>
      </c>
      <c r="D36" s="161" t="s">
        <v>1051</v>
      </c>
      <c r="E36" s="162" t="s">
        <v>2115</v>
      </c>
      <c r="F36" s="1"/>
      <c r="G36" s="181">
        <v>35</v>
      </c>
      <c r="H36" s="207" t="s">
        <v>1474</v>
      </c>
      <c r="I36" s="183" t="s">
        <v>2348</v>
      </c>
      <c r="J36" s="182" t="s">
        <v>1038</v>
      </c>
      <c r="K36" s="184" t="s">
        <v>1039</v>
      </c>
      <c r="O36" s="13" t="s">
        <v>1654</v>
      </c>
      <c r="Q36" s="22" t="s">
        <v>1628</v>
      </c>
      <c r="U36" s="154" t="s">
        <v>2093</v>
      </c>
    </row>
    <row r="37" spans="1:21" x14ac:dyDescent="0.2">
      <c r="A37" s="194">
        <v>36</v>
      </c>
      <c r="B37" s="160" t="s">
        <v>1062</v>
      </c>
      <c r="C37" s="161" t="s">
        <v>24</v>
      </c>
      <c r="D37" s="161" t="s">
        <v>1051</v>
      </c>
      <c r="E37" s="162" t="s">
        <v>2115</v>
      </c>
      <c r="F37" s="1"/>
      <c r="G37" s="181">
        <v>36</v>
      </c>
      <c r="H37" s="207" t="s">
        <v>1475</v>
      </c>
      <c r="I37" s="183" t="s">
        <v>2348</v>
      </c>
      <c r="J37" s="182" t="s">
        <v>1040</v>
      </c>
      <c r="K37" s="184" t="s">
        <v>1041</v>
      </c>
      <c r="O37" s="13" t="s">
        <v>1765</v>
      </c>
      <c r="Q37" s="22" t="s">
        <v>1629</v>
      </c>
      <c r="U37" s="154" t="s">
        <v>2039</v>
      </c>
    </row>
    <row r="38" spans="1:21" x14ac:dyDescent="0.2">
      <c r="A38" s="194">
        <v>37</v>
      </c>
      <c r="B38" s="160" t="s">
        <v>1063</v>
      </c>
      <c r="C38" s="161" t="s">
        <v>1796</v>
      </c>
      <c r="D38" s="161" t="s">
        <v>1051</v>
      </c>
      <c r="E38" s="162" t="s">
        <v>2115</v>
      </c>
      <c r="F38" s="1"/>
      <c r="G38" s="181">
        <v>37</v>
      </c>
      <c r="H38" s="207" t="s">
        <v>1476</v>
      </c>
      <c r="I38" s="183" t="s">
        <v>2349</v>
      </c>
      <c r="J38" s="182" t="s">
        <v>2350</v>
      </c>
      <c r="K38" s="184" t="s">
        <v>1019</v>
      </c>
      <c r="O38" s="13" t="s">
        <v>2303</v>
      </c>
      <c r="Q38" s="22" t="s">
        <v>1647</v>
      </c>
      <c r="U38" s="154" t="s">
        <v>2041</v>
      </c>
    </row>
    <row r="39" spans="1:21" x14ac:dyDescent="0.2">
      <c r="A39" s="194">
        <v>38</v>
      </c>
      <c r="B39" s="160" t="s">
        <v>25</v>
      </c>
      <c r="C39" s="161" t="s">
        <v>24</v>
      </c>
      <c r="D39" s="161" t="s">
        <v>1051</v>
      </c>
      <c r="E39" s="162" t="s">
        <v>2115</v>
      </c>
      <c r="F39" s="1"/>
      <c r="G39" s="181">
        <v>38</v>
      </c>
      <c r="H39" s="210" t="s">
        <v>2351</v>
      </c>
      <c r="I39" s="189" t="s">
        <v>1042</v>
      </c>
      <c r="J39" s="188" t="s">
        <v>1042</v>
      </c>
      <c r="K39" s="190" t="s">
        <v>1042</v>
      </c>
      <c r="Q39" s="22" t="s">
        <v>1648</v>
      </c>
      <c r="U39" s="154" t="s">
        <v>2042</v>
      </c>
    </row>
    <row r="40" spans="1:21" x14ac:dyDescent="0.2">
      <c r="A40" s="194">
        <v>39</v>
      </c>
      <c r="B40" s="160" t="s">
        <v>26</v>
      </c>
      <c r="C40" s="161" t="s">
        <v>24</v>
      </c>
      <c r="D40" s="161" t="s">
        <v>1051</v>
      </c>
      <c r="E40" s="162" t="s">
        <v>2115</v>
      </c>
      <c r="F40" s="1"/>
      <c r="G40" s="191"/>
      <c r="H40" s="193"/>
      <c r="I40" s="192"/>
      <c r="J40" s="191"/>
      <c r="K40" s="191"/>
      <c r="O40" s="10" t="s">
        <v>1619</v>
      </c>
      <c r="Q40" s="22" t="s">
        <v>1633</v>
      </c>
      <c r="U40" s="155" t="s">
        <v>2044</v>
      </c>
    </row>
    <row r="41" spans="1:21" x14ac:dyDescent="0.2">
      <c r="A41" s="194">
        <v>40</v>
      </c>
      <c r="B41" s="160" t="s">
        <v>27</v>
      </c>
      <c r="C41" s="161" t="s">
        <v>24</v>
      </c>
      <c r="D41" s="161" t="s">
        <v>1051</v>
      </c>
      <c r="E41" s="162" t="s">
        <v>2115</v>
      </c>
      <c r="F41" s="1"/>
      <c r="G41" s="191"/>
      <c r="H41" s="192"/>
      <c r="I41" s="192"/>
      <c r="J41" s="191"/>
      <c r="K41" s="191"/>
      <c r="O41" s="16" t="s">
        <v>1620</v>
      </c>
    </row>
    <row r="42" spans="1:21" x14ac:dyDescent="0.2">
      <c r="A42" s="194">
        <v>41</v>
      </c>
      <c r="B42" s="160" t="s">
        <v>28</v>
      </c>
      <c r="C42" s="161" t="s">
        <v>24</v>
      </c>
      <c r="D42" s="161" t="s">
        <v>1051</v>
      </c>
      <c r="E42" s="162" t="s">
        <v>2115</v>
      </c>
      <c r="F42" s="1"/>
      <c r="G42" s="191"/>
      <c r="H42" s="192"/>
      <c r="I42" s="192"/>
      <c r="J42" s="191"/>
      <c r="K42" s="191"/>
      <c r="O42" s="16" t="s">
        <v>1664</v>
      </c>
    </row>
    <row r="43" spans="1:21" x14ac:dyDescent="0.2">
      <c r="A43" s="194">
        <v>42</v>
      </c>
      <c r="B43" s="160" t="s">
        <v>1064</v>
      </c>
      <c r="C43" s="161" t="s">
        <v>1797</v>
      </c>
      <c r="D43" s="161" t="s">
        <v>1070</v>
      </c>
      <c r="E43" s="162" t="s">
        <v>2115</v>
      </c>
      <c r="F43" s="1"/>
      <c r="G43" s="191"/>
      <c r="H43" s="192"/>
      <c r="I43" s="192"/>
      <c r="J43" s="191"/>
      <c r="K43" s="191"/>
    </row>
    <row r="44" spans="1:21" x14ac:dyDescent="0.2">
      <c r="A44" s="194">
        <v>43</v>
      </c>
      <c r="B44" s="160" t="s">
        <v>2355</v>
      </c>
      <c r="C44" s="161" t="s">
        <v>1059</v>
      </c>
      <c r="D44" s="161" t="s">
        <v>1051</v>
      </c>
      <c r="E44" s="162" t="s">
        <v>2115</v>
      </c>
      <c r="F44" s="1"/>
      <c r="G44" s="191"/>
      <c r="H44" s="192"/>
      <c r="I44" s="192"/>
      <c r="J44" s="191"/>
      <c r="K44" s="191"/>
      <c r="O44" s="25" t="s">
        <v>1634</v>
      </c>
    </row>
    <row r="45" spans="1:21" x14ac:dyDescent="0.2">
      <c r="A45" s="194">
        <v>44</v>
      </c>
      <c r="B45" s="160" t="s">
        <v>29</v>
      </c>
      <c r="C45" s="161" t="s">
        <v>1798</v>
      </c>
      <c r="D45" s="161" t="s">
        <v>1051</v>
      </c>
      <c r="E45" s="162" t="s">
        <v>743</v>
      </c>
      <c r="F45" s="1"/>
      <c r="G45" s="191"/>
      <c r="H45" s="192"/>
      <c r="I45" s="192"/>
      <c r="J45" s="191"/>
      <c r="K45" s="191"/>
      <c r="O45" s="13" t="s">
        <v>1635</v>
      </c>
    </row>
    <row r="46" spans="1:21" x14ac:dyDescent="0.2">
      <c r="A46" s="194">
        <v>45</v>
      </c>
      <c r="B46" s="160" t="s">
        <v>30</v>
      </c>
      <c r="C46" s="161" t="s">
        <v>1483</v>
      </c>
      <c r="D46" s="161" t="s">
        <v>1050</v>
      </c>
      <c r="E46" s="162" t="s">
        <v>2116</v>
      </c>
      <c r="F46" s="1"/>
      <c r="G46" s="191"/>
      <c r="H46" s="192"/>
      <c r="I46" s="192"/>
      <c r="J46" s="191"/>
      <c r="K46" s="191"/>
      <c r="O46" s="13" t="s">
        <v>1632</v>
      </c>
    </row>
    <row r="47" spans="1:21" x14ac:dyDescent="0.2">
      <c r="A47" s="194">
        <v>46</v>
      </c>
      <c r="B47" s="160" t="s">
        <v>1065</v>
      </c>
      <c r="C47" s="161" t="s">
        <v>1066</v>
      </c>
      <c r="D47" s="161" t="s">
        <v>1050</v>
      </c>
      <c r="E47" s="162" t="s">
        <v>2116</v>
      </c>
      <c r="F47" s="1"/>
      <c r="G47" s="191"/>
      <c r="H47" s="192"/>
      <c r="I47" s="192"/>
      <c r="J47" s="191"/>
      <c r="K47" s="191"/>
      <c r="O47" s="13" t="s">
        <v>1637</v>
      </c>
    </row>
    <row r="48" spans="1:21" x14ac:dyDescent="0.2">
      <c r="A48" s="194">
        <v>47</v>
      </c>
      <c r="B48" s="160" t="s">
        <v>31</v>
      </c>
      <c r="C48" s="161" t="s">
        <v>1799</v>
      </c>
      <c r="D48" s="161" t="s">
        <v>1050</v>
      </c>
      <c r="E48" s="162" t="s">
        <v>2116</v>
      </c>
      <c r="F48" s="1"/>
      <c r="G48" s="191"/>
      <c r="H48" s="192"/>
      <c r="I48" s="55"/>
      <c r="J48" s="191"/>
      <c r="K48" s="191"/>
      <c r="O48" s="13" t="s">
        <v>1638</v>
      </c>
    </row>
    <row r="49" spans="1:15" x14ac:dyDescent="0.2">
      <c r="A49" s="194">
        <v>48</v>
      </c>
      <c r="B49" s="160" t="s">
        <v>32</v>
      </c>
      <c r="C49" s="161" t="s">
        <v>1800</v>
      </c>
      <c r="D49" s="161" t="s">
        <v>1070</v>
      </c>
      <c r="E49" s="162" t="s">
        <v>2116</v>
      </c>
      <c r="F49" s="1"/>
      <c r="G49" s="191"/>
      <c r="H49" s="192"/>
      <c r="I49" s="192"/>
      <c r="J49" s="191"/>
      <c r="K49" s="191"/>
      <c r="O49" s="13" t="s">
        <v>1639</v>
      </c>
    </row>
    <row r="50" spans="1:15" x14ac:dyDescent="0.2">
      <c r="A50" s="194">
        <v>49</v>
      </c>
      <c r="B50" s="160" t="s">
        <v>2121</v>
      </c>
      <c r="C50" s="161" t="s">
        <v>2122</v>
      </c>
      <c r="D50" s="161" t="s">
        <v>1050</v>
      </c>
      <c r="E50" s="162" t="s">
        <v>2354</v>
      </c>
      <c r="F50" s="1"/>
      <c r="G50" s="191"/>
      <c r="O50" s="13" t="s">
        <v>1641</v>
      </c>
    </row>
    <row r="51" spans="1:15" x14ac:dyDescent="0.2">
      <c r="A51" s="194">
        <v>50</v>
      </c>
      <c r="B51" s="160" t="s">
        <v>1801</v>
      </c>
      <c r="C51" s="161" t="s">
        <v>1802</v>
      </c>
      <c r="D51" s="161" t="s">
        <v>1050</v>
      </c>
      <c r="E51" s="162" t="s">
        <v>2354</v>
      </c>
      <c r="F51" s="1"/>
      <c r="O51" s="13" t="s">
        <v>1640</v>
      </c>
    </row>
    <row r="52" spans="1:15" x14ac:dyDescent="0.2">
      <c r="A52" s="194">
        <v>51</v>
      </c>
      <c r="B52" s="160" t="s">
        <v>1484</v>
      </c>
      <c r="C52" s="161" t="s">
        <v>1803</v>
      </c>
      <c r="D52" s="161" t="s">
        <v>1050</v>
      </c>
      <c r="E52" s="162" t="s">
        <v>2123</v>
      </c>
      <c r="F52" s="1"/>
      <c r="O52" s="13" t="s">
        <v>1636</v>
      </c>
    </row>
    <row r="53" spans="1:15" x14ac:dyDescent="0.2">
      <c r="A53" s="194">
        <v>52</v>
      </c>
      <c r="B53" s="160" t="s">
        <v>2124</v>
      </c>
      <c r="C53" s="162" t="s">
        <v>2125</v>
      </c>
      <c r="D53" s="161" t="s">
        <v>1050</v>
      </c>
      <c r="E53" s="162" t="s">
        <v>2123</v>
      </c>
      <c r="F53" s="1"/>
      <c r="O53" s="13" t="s">
        <v>1633</v>
      </c>
    </row>
    <row r="54" spans="1:15" x14ac:dyDescent="0.2">
      <c r="A54" s="194">
        <v>53</v>
      </c>
      <c r="B54" s="160" t="s">
        <v>33</v>
      </c>
      <c r="C54" s="161" t="s">
        <v>1804</v>
      </c>
      <c r="D54" s="161" t="s">
        <v>1050</v>
      </c>
      <c r="E54" s="162" t="s">
        <v>2116</v>
      </c>
      <c r="F54" s="1"/>
      <c r="O54" s="30" t="s">
        <v>1655</v>
      </c>
    </row>
    <row r="55" spans="1:15" x14ac:dyDescent="0.2">
      <c r="A55" s="194">
        <v>54</v>
      </c>
      <c r="B55" s="160" t="s">
        <v>1805</v>
      </c>
      <c r="C55" s="161" t="s">
        <v>1806</v>
      </c>
      <c r="D55" s="161" t="s">
        <v>1050</v>
      </c>
      <c r="E55" s="162" t="s">
        <v>2116</v>
      </c>
      <c r="F55" s="1"/>
    </row>
    <row r="56" spans="1:15" x14ac:dyDescent="0.2">
      <c r="A56" s="194">
        <v>55</v>
      </c>
      <c r="B56" s="160" t="s">
        <v>34</v>
      </c>
      <c r="C56" s="161" t="s">
        <v>1807</v>
      </c>
      <c r="D56" s="161" t="s">
        <v>1050</v>
      </c>
      <c r="E56" s="162" t="s">
        <v>2116</v>
      </c>
      <c r="F56" s="1"/>
    </row>
    <row r="57" spans="1:15" x14ac:dyDescent="0.2">
      <c r="A57" s="194">
        <v>56</v>
      </c>
      <c r="B57" s="160" t="s">
        <v>35</v>
      </c>
      <c r="C57" s="161" t="s">
        <v>1808</v>
      </c>
      <c r="D57" s="161" t="s">
        <v>1050</v>
      </c>
      <c r="E57" s="162" t="s">
        <v>2116</v>
      </c>
      <c r="F57" s="1"/>
    </row>
    <row r="58" spans="1:15" x14ac:dyDescent="0.2">
      <c r="A58" s="194">
        <v>57</v>
      </c>
      <c r="B58" s="160" t="s">
        <v>36</v>
      </c>
      <c r="C58" s="161" t="s">
        <v>1485</v>
      </c>
      <c r="D58" s="161" t="s">
        <v>1050</v>
      </c>
      <c r="E58" s="162" t="s">
        <v>2116</v>
      </c>
      <c r="F58" s="1"/>
    </row>
    <row r="59" spans="1:15" x14ac:dyDescent="0.2">
      <c r="A59" s="194">
        <v>58</v>
      </c>
      <c r="B59" s="160" t="s">
        <v>2126</v>
      </c>
      <c r="C59" s="161" t="s">
        <v>2127</v>
      </c>
      <c r="D59" s="161" t="s">
        <v>1050</v>
      </c>
      <c r="E59" s="162" t="s">
        <v>2116</v>
      </c>
      <c r="F59" s="1"/>
    </row>
    <row r="60" spans="1:15" x14ac:dyDescent="0.2">
      <c r="A60" s="194">
        <v>59</v>
      </c>
      <c r="B60" s="160" t="s">
        <v>37</v>
      </c>
      <c r="C60" s="161" t="s">
        <v>1809</v>
      </c>
      <c r="D60" s="161" t="s">
        <v>1050</v>
      </c>
      <c r="E60" s="162" t="s">
        <v>2116</v>
      </c>
      <c r="F60" s="1"/>
    </row>
    <row r="61" spans="1:15" x14ac:dyDescent="0.2">
      <c r="A61" s="194">
        <v>60</v>
      </c>
      <c r="B61" s="160" t="s">
        <v>38</v>
      </c>
      <c r="C61" s="161" t="s">
        <v>1810</v>
      </c>
      <c r="D61" s="161" t="s">
        <v>1050</v>
      </c>
      <c r="E61" s="162" t="s">
        <v>2116</v>
      </c>
      <c r="F61" s="1"/>
    </row>
    <row r="62" spans="1:15" x14ac:dyDescent="0.2">
      <c r="A62" s="194">
        <v>61</v>
      </c>
      <c r="B62" s="160" t="s">
        <v>2128</v>
      </c>
      <c r="C62" s="161" t="s">
        <v>2129</v>
      </c>
      <c r="D62" s="161" t="s">
        <v>1050</v>
      </c>
      <c r="E62" s="162" t="s">
        <v>2116</v>
      </c>
      <c r="F62" s="1"/>
    </row>
    <row r="63" spans="1:15" x14ac:dyDescent="0.2">
      <c r="A63" s="194">
        <v>62</v>
      </c>
      <c r="B63" s="163" t="s">
        <v>2275</v>
      </c>
      <c r="C63" s="164" t="s">
        <v>2276</v>
      </c>
      <c r="D63" s="164" t="s">
        <v>1050</v>
      </c>
      <c r="E63" s="164" t="s">
        <v>2123</v>
      </c>
      <c r="F63" s="1"/>
    </row>
    <row r="64" spans="1:15" x14ac:dyDescent="0.2">
      <c r="A64" s="194">
        <v>63</v>
      </c>
      <c r="B64" s="160" t="s">
        <v>1067</v>
      </c>
      <c r="C64" s="161" t="s">
        <v>1811</v>
      </c>
      <c r="D64" s="161" t="s">
        <v>1050</v>
      </c>
      <c r="E64" s="162" t="s">
        <v>2123</v>
      </c>
      <c r="F64" s="1"/>
    </row>
    <row r="65" spans="1:6" x14ac:dyDescent="0.2">
      <c r="A65" s="194">
        <v>64</v>
      </c>
      <c r="B65" s="160" t="s">
        <v>1812</v>
      </c>
      <c r="C65" s="161" t="s">
        <v>1813</v>
      </c>
      <c r="D65" s="161" t="s">
        <v>1050</v>
      </c>
      <c r="E65" s="162" t="s">
        <v>2115</v>
      </c>
      <c r="F65" s="1"/>
    </row>
    <row r="66" spans="1:6" x14ac:dyDescent="0.2">
      <c r="A66" s="194">
        <v>65</v>
      </c>
      <c r="B66" s="160" t="s">
        <v>1068</v>
      </c>
      <c r="C66" s="161" t="s">
        <v>568</v>
      </c>
      <c r="D66" s="161" t="s">
        <v>1050</v>
      </c>
      <c r="E66" s="162" t="s">
        <v>2354</v>
      </c>
      <c r="F66" s="1"/>
    </row>
    <row r="67" spans="1:6" x14ac:dyDescent="0.2">
      <c r="A67" s="194">
        <v>66</v>
      </c>
      <c r="B67" s="160" t="s">
        <v>1069</v>
      </c>
      <c r="C67" s="161" t="s">
        <v>1814</v>
      </c>
      <c r="D67" s="161" t="s">
        <v>1051</v>
      </c>
      <c r="E67" s="162" t="s">
        <v>2354</v>
      </c>
      <c r="F67" s="1"/>
    </row>
    <row r="68" spans="1:6" x14ac:dyDescent="0.2">
      <c r="A68" s="194">
        <v>67</v>
      </c>
      <c r="B68" s="160" t="s">
        <v>39</v>
      </c>
      <c r="C68" s="161" t="s">
        <v>1815</v>
      </c>
      <c r="D68" s="161" t="s">
        <v>1050</v>
      </c>
      <c r="E68" s="162" t="s">
        <v>2354</v>
      </c>
      <c r="F68" s="1"/>
    </row>
    <row r="69" spans="1:6" x14ac:dyDescent="0.2">
      <c r="A69" s="194">
        <v>68</v>
      </c>
      <c r="B69" s="160" t="s">
        <v>40</v>
      </c>
      <c r="C69" s="161" t="s">
        <v>41</v>
      </c>
      <c r="D69" s="161" t="s">
        <v>1051</v>
      </c>
      <c r="E69" s="162" t="s">
        <v>2116</v>
      </c>
      <c r="F69" s="1"/>
    </row>
    <row r="70" spans="1:6" x14ac:dyDescent="0.2">
      <c r="A70" s="194">
        <v>69</v>
      </c>
      <c r="B70" s="160" t="s">
        <v>42</v>
      </c>
      <c r="C70" s="161" t="s">
        <v>43</v>
      </c>
      <c r="D70" s="161" t="s">
        <v>1051</v>
      </c>
      <c r="E70" s="162" t="s">
        <v>2116</v>
      </c>
      <c r="F70" s="1"/>
    </row>
    <row r="71" spans="1:6" x14ac:dyDescent="0.2">
      <c r="A71" s="194">
        <v>70</v>
      </c>
      <c r="B71" s="160" t="s">
        <v>44</v>
      </c>
      <c r="C71" s="161" t="s">
        <v>1816</v>
      </c>
      <c r="D71" s="161" t="s">
        <v>1051</v>
      </c>
      <c r="E71" s="162" t="s">
        <v>2115</v>
      </c>
      <c r="F71" s="1"/>
    </row>
    <row r="72" spans="1:6" x14ac:dyDescent="0.2">
      <c r="A72" s="194">
        <v>71</v>
      </c>
      <c r="B72" s="160" t="s">
        <v>46</v>
      </c>
      <c r="C72" s="161" t="s">
        <v>45</v>
      </c>
      <c r="D72" s="161" t="s">
        <v>1051</v>
      </c>
      <c r="E72" s="162" t="s">
        <v>2115</v>
      </c>
      <c r="F72" s="1"/>
    </row>
    <row r="73" spans="1:6" x14ac:dyDescent="0.2">
      <c r="A73" s="194">
        <v>72</v>
      </c>
      <c r="B73" s="163" t="s">
        <v>2233</v>
      </c>
      <c r="C73" s="164" t="s">
        <v>2234</v>
      </c>
      <c r="D73" s="164" t="s">
        <v>1050</v>
      </c>
      <c r="E73" s="162" t="s">
        <v>2354</v>
      </c>
      <c r="F73" s="1"/>
    </row>
    <row r="74" spans="1:6" x14ac:dyDescent="0.2">
      <c r="A74" s="194">
        <v>73</v>
      </c>
      <c r="B74" s="160" t="s">
        <v>47</v>
      </c>
      <c r="C74" s="161" t="s">
        <v>1817</v>
      </c>
      <c r="D74" s="161" t="s">
        <v>1050</v>
      </c>
      <c r="E74" s="162" t="s">
        <v>2123</v>
      </c>
      <c r="F74" s="1"/>
    </row>
    <row r="75" spans="1:6" x14ac:dyDescent="0.2">
      <c r="A75" s="194">
        <v>74</v>
      </c>
      <c r="B75" s="160" t="s">
        <v>48</v>
      </c>
      <c r="C75" s="161" t="s">
        <v>49</v>
      </c>
      <c r="D75" s="161" t="s">
        <v>1050</v>
      </c>
      <c r="E75" s="162" t="s">
        <v>2116</v>
      </c>
      <c r="F75" s="1"/>
    </row>
    <row r="76" spans="1:6" x14ac:dyDescent="0.2">
      <c r="A76" s="194">
        <v>75</v>
      </c>
      <c r="B76" s="160" t="s">
        <v>50</v>
      </c>
      <c r="C76" s="161" t="s">
        <v>51</v>
      </c>
      <c r="D76" s="161" t="s">
        <v>1070</v>
      </c>
      <c r="E76" s="162" t="s">
        <v>2116</v>
      </c>
      <c r="F76" s="1"/>
    </row>
    <row r="77" spans="1:6" x14ac:dyDescent="0.2">
      <c r="A77" s="194">
        <v>76</v>
      </c>
      <c r="B77" s="160" t="s">
        <v>52</v>
      </c>
      <c r="C77" s="161" t="s">
        <v>1818</v>
      </c>
      <c r="D77" s="161" t="s">
        <v>1050</v>
      </c>
      <c r="E77" s="162" t="s">
        <v>2116</v>
      </c>
      <c r="F77" s="1"/>
    </row>
    <row r="78" spans="1:6" x14ac:dyDescent="0.2">
      <c r="A78" s="194">
        <v>77</v>
      </c>
      <c r="B78" s="160" t="s">
        <v>53</v>
      </c>
      <c r="C78" s="161" t="s">
        <v>54</v>
      </c>
      <c r="D78" s="161" t="s">
        <v>1050</v>
      </c>
      <c r="E78" s="162" t="s">
        <v>2116</v>
      </c>
      <c r="F78" s="1"/>
    </row>
    <row r="79" spans="1:6" x14ac:dyDescent="0.2">
      <c r="A79" s="194">
        <v>78</v>
      </c>
      <c r="B79" s="160" t="s">
        <v>2130</v>
      </c>
      <c r="C79" s="162" t="s">
        <v>51</v>
      </c>
      <c r="D79" s="161" t="s">
        <v>1050</v>
      </c>
      <c r="E79" s="162" t="s">
        <v>2116</v>
      </c>
      <c r="F79" s="1"/>
    </row>
    <row r="80" spans="1:6" x14ac:dyDescent="0.2">
      <c r="A80" s="194">
        <v>79</v>
      </c>
      <c r="B80" s="160" t="s">
        <v>55</v>
      </c>
      <c r="C80" s="161" t="s">
        <v>56</v>
      </c>
      <c r="D80" s="161" t="s">
        <v>1050</v>
      </c>
      <c r="E80" s="162" t="s">
        <v>2115</v>
      </c>
      <c r="F80" s="1"/>
    </row>
    <row r="81" spans="1:6" x14ac:dyDescent="0.2">
      <c r="A81" s="194">
        <v>80</v>
      </c>
      <c r="B81" s="160" t="s">
        <v>2250</v>
      </c>
      <c r="C81" s="161" t="s">
        <v>2251</v>
      </c>
      <c r="D81" s="161" t="s">
        <v>1051</v>
      </c>
      <c r="E81" s="162" t="s">
        <v>2116</v>
      </c>
      <c r="F81" s="1"/>
    </row>
    <row r="82" spans="1:6" x14ac:dyDescent="0.2">
      <c r="A82" s="194">
        <v>81</v>
      </c>
      <c r="B82" s="160" t="s">
        <v>1819</v>
      </c>
      <c r="C82" s="161" t="s">
        <v>1820</v>
      </c>
      <c r="D82" s="161" t="s">
        <v>1050</v>
      </c>
      <c r="E82" s="162" t="s">
        <v>2354</v>
      </c>
      <c r="F82" s="1"/>
    </row>
    <row r="83" spans="1:6" x14ac:dyDescent="0.2">
      <c r="A83" s="194">
        <v>82</v>
      </c>
      <c r="B83" s="160" t="s">
        <v>2131</v>
      </c>
      <c r="C83" s="161" t="s">
        <v>58</v>
      </c>
      <c r="D83" s="161" t="s">
        <v>1050</v>
      </c>
      <c r="E83" s="162" t="s">
        <v>2354</v>
      </c>
      <c r="F83" s="1"/>
    </row>
    <row r="84" spans="1:6" x14ac:dyDescent="0.2">
      <c r="A84" s="194">
        <v>83</v>
      </c>
      <c r="B84" s="160" t="s">
        <v>57</v>
      </c>
      <c r="C84" s="161" t="s">
        <v>58</v>
      </c>
      <c r="D84" s="161" t="s">
        <v>1051</v>
      </c>
      <c r="E84" s="162" t="s">
        <v>2115</v>
      </c>
      <c r="F84" s="1"/>
    </row>
    <row r="85" spans="1:6" x14ac:dyDescent="0.2">
      <c r="A85" s="194">
        <v>84</v>
      </c>
      <c r="B85" s="160" t="s">
        <v>59</v>
      </c>
      <c r="C85" s="161" t="s">
        <v>58</v>
      </c>
      <c r="D85" s="161" t="s">
        <v>1051</v>
      </c>
      <c r="E85" s="162" t="s">
        <v>2115</v>
      </c>
      <c r="F85" s="1"/>
    </row>
    <row r="86" spans="1:6" x14ac:dyDescent="0.2">
      <c r="A86" s="194">
        <v>85</v>
      </c>
      <c r="B86" s="160" t="s">
        <v>60</v>
      </c>
      <c r="C86" s="161" t="s">
        <v>61</v>
      </c>
      <c r="D86" s="161" t="s">
        <v>1051</v>
      </c>
      <c r="E86" s="162" t="s">
        <v>2116</v>
      </c>
      <c r="F86" s="1"/>
    </row>
    <row r="87" spans="1:6" x14ac:dyDescent="0.2">
      <c r="A87" s="194">
        <v>86</v>
      </c>
      <c r="B87" s="160" t="s">
        <v>2356</v>
      </c>
      <c r="C87" s="161" t="s">
        <v>2357</v>
      </c>
      <c r="D87" s="161" t="s">
        <v>1050</v>
      </c>
      <c r="E87" s="162" t="s">
        <v>2354</v>
      </c>
      <c r="F87" s="1"/>
    </row>
    <row r="88" spans="1:6" x14ac:dyDescent="0.2">
      <c r="A88" s="194">
        <v>87</v>
      </c>
      <c r="B88" s="160" t="s">
        <v>62</v>
      </c>
      <c r="C88" s="161" t="s">
        <v>63</v>
      </c>
      <c r="D88" s="161" t="s">
        <v>1050</v>
      </c>
      <c r="E88" s="162" t="s">
        <v>2115</v>
      </c>
      <c r="F88" s="1"/>
    </row>
    <row r="89" spans="1:6" x14ac:dyDescent="0.2">
      <c r="A89" s="194">
        <v>88</v>
      </c>
      <c r="B89" s="160" t="s">
        <v>1486</v>
      </c>
      <c r="C89" s="161" t="s">
        <v>1821</v>
      </c>
      <c r="D89" s="161" t="s">
        <v>1050</v>
      </c>
      <c r="E89" s="162" t="s">
        <v>2354</v>
      </c>
      <c r="F89" s="1"/>
    </row>
    <row r="90" spans="1:6" x14ac:dyDescent="0.2">
      <c r="A90" s="194">
        <v>89</v>
      </c>
      <c r="B90" s="160" t="s">
        <v>1071</v>
      </c>
      <c r="C90" s="161" t="s">
        <v>64</v>
      </c>
      <c r="D90" s="161" t="s">
        <v>1051</v>
      </c>
      <c r="E90" s="162" t="s">
        <v>2354</v>
      </c>
      <c r="F90" s="1"/>
    </row>
    <row r="91" spans="1:6" x14ac:dyDescent="0.2">
      <c r="A91" s="194">
        <v>90</v>
      </c>
      <c r="B91" s="160" t="s">
        <v>65</v>
      </c>
      <c r="C91" s="161" t="s">
        <v>1822</v>
      </c>
      <c r="D91" s="161" t="s">
        <v>1051</v>
      </c>
      <c r="E91" s="162" t="s">
        <v>2354</v>
      </c>
      <c r="F91" s="1"/>
    </row>
    <row r="92" spans="1:6" x14ac:dyDescent="0.2">
      <c r="A92" s="194">
        <v>91</v>
      </c>
      <c r="B92" s="160" t="s">
        <v>2132</v>
      </c>
      <c r="C92" s="161" t="s">
        <v>70</v>
      </c>
      <c r="D92" s="161" t="s">
        <v>1051</v>
      </c>
      <c r="E92" s="162" t="s">
        <v>2115</v>
      </c>
      <c r="F92" s="1"/>
    </row>
    <row r="93" spans="1:6" x14ac:dyDescent="0.2">
      <c r="A93" s="194">
        <v>92</v>
      </c>
      <c r="B93" s="160" t="s">
        <v>1823</v>
      </c>
      <c r="C93" s="161" t="s">
        <v>1824</v>
      </c>
      <c r="D93" s="161" t="s">
        <v>1070</v>
      </c>
      <c r="E93" s="162" t="s">
        <v>2115</v>
      </c>
      <c r="F93" s="1"/>
    </row>
    <row r="94" spans="1:6" x14ac:dyDescent="0.2">
      <c r="A94" s="194">
        <v>93</v>
      </c>
      <c r="B94" s="160" t="s">
        <v>66</v>
      </c>
      <c r="C94" s="161" t="s">
        <v>1072</v>
      </c>
      <c r="D94" s="161" t="s">
        <v>1050</v>
      </c>
      <c r="E94" s="162" t="s">
        <v>2115</v>
      </c>
      <c r="F94" s="1"/>
    </row>
    <row r="95" spans="1:6" x14ac:dyDescent="0.2">
      <c r="A95" s="194">
        <v>94</v>
      </c>
      <c r="B95" s="160" t="s">
        <v>67</v>
      </c>
      <c r="C95" s="161" t="s">
        <v>1825</v>
      </c>
      <c r="D95" s="161" t="s">
        <v>1051</v>
      </c>
      <c r="E95" s="162" t="s">
        <v>2115</v>
      </c>
      <c r="F95" s="1"/>
    </row>
    <row r="96" spans="1:6" x14ac:dyDescent="0.2">
      <c r="A96" s="194">
        <v>95</v>
      </c>
      <c r="B96" s="160" t="s">
        <v>68</v>
      </c>
      <c r="C96" s="161" t="s">
        <v>70</v>
      </c>
      <c r="D96" s="161" t="s">
        <v>1050</v>
      </c>
      <c r="E96" s="162" t="s">
        <v>2115</v>
      </c>
      <c r="F96" s="1"/>
    </row>
    <row r="97" spans="1:6" x14ac:dyDescent="0.2">
      <c r="A97" s="194">
        <v>96</v>
      </c>
      <c r="B97" s="160" t="s">
        <v>2133</v>
      </c>
      <c r="C97" s="161" t="s">
        <v>2134</v>
      </c>
      <c r="D97" s="161" t="s">
        <v>1050</v>
      </c>
      <c r="E97" s="162" t="s">
        <v>2115</v>
      </c>
      <c r="F97" s="1"/>
    </row>
    <row r="98" spans="1:6" x14ac:dyDescent="0.2">
      <c r="A98" s="194">
        <v>97</v>
      </c>
      <c r="B98" s="160" t="s">
        <v>69</v>
      </c>
      <c r="C98" s="161" t="s">
        <v>70</v>
      </c>
      <c r="D98" s="161" t="s">
        <v>1070</v>
      </c>
      <c r="E98" s="162" t="s">
        <v>2115</v>
      </c>
      <c r="F98" s="1"/>
    </row>
    <row r="99" spans="1:6" x14ac:dyDescent="0.2">
      <c r="A99" s="194">
        <v>98</v>
      </c>
      <c r="B99" s="160" t="s">
        <v>71</v>
      </c>
      <c r="C99" s="161" t="s">
        <v>1826</v>
      </c>
      <c r="D99" s="161" t="s">
        <v>1070</v>
      </c>
      <c r="E99" s="162" t="s">
        <v>2116</v>
      </c>
      <c r="F99" s="1"/>
    </row>
    <row r="100" spans="1:6" x14ac:dyDescent="0.2">
      <c r="A100" s="194">
        <v>99</v>
      </c>
      <c r="B100" s="160" t="s">
        <v>1827</v>
      </c>
      <c r="C100" s="161" t="s">
        <v>1828</v>
      </c>
      <c r="D100" s="161" t="s">
        <v>1070</v>
      </c>
      <c r="E100" s="162" t="s">
        <v>743</v>
      </c>
      <c r="F100" s="1"/>
    </row>
    <row r="101" spans="1:6" x14ac:dyDescent="0.2">
      <c r="A101" s="194">
        <v>100</v>
      </c>
      <c r="B101" s="160" t="s">
        <v>72</v>
      </c>
      <c r="C101" s="161" t="s">
        <v>73</v>
      </c>
      <c r="D101" s="161" t="s">
        <v>1070</v>
      </c>
      <c r="E101" s="162" t="s">
        <v>2115</v>
      </c>
      <c r="F101" s="1"/>
    </row>
    <row r="102" spans="1:6" x14ac:dyDescent="0.2">
      <c r="A102" s="194">
        <v>101</v>
      </c>
      <c r="B102" s="160" t="s">
        <v>74</v>
      </c>
      <c r="C102" s="161" t="s">
        <v>1073</v>
      </c>
      <c r="D102" s="161" t="s">
        <v>1051</v>
      </c>
      <c r="E102" s="162" t="s">
        <v>2115</v>
      </c>
      <c r="F102" s="1"/>
    </row>
    <row r="103" spans="1:6" x14ac:dyDescent="0.2">
      <c r="A103" s="194">
        <v>102</v>
      </c>
      <c r="B103" s="160" t="s">
        <v>75</v>
      </c>
      <c r="C103" s="161" t="s">
        <v>76</v>
      </c>
      <c r="D103" s="161" t="s">
        <v>1051</v>
      </c>
      <c r="E103" s="162" t="s">
        <v>2115</v>
      </c>
      <c r="F103" s="1"/>
    </row>
    <row r="104" spans="1:6" x14ac:dyDescent="0.2">
      <c r="A104" s="194">
        <v>103</v>
      </c>
      <c r="B104" s="160" t="s">
        <v>77</v>
      </c>
      <c r="C104" s="161" t="s">
        <v>1074</v>
      </c>
      <c r="D104" s="161" t="s">
        <v>1051</v>
      </c>
      <c r="E104" s="162" t="s">
        <v>2115</v>
      </c>
      <c r="F104" s="1"/>
    </row>
    <row r="105" spans="1:6" x14ac:dyDescent="0.2">
      <c r="A105" s="194">
        <v>104</v>
      </c>
      <c r="B105" s="160" t="s">
        <v>1829</v>
      </c>
      <c r="C105" s="161" t="s">
        <v>1830</v>
      </c>
      <c r="D105" s="161" t="s">
        <v>1051</v>
      </c>
      <c r="E105" s="162" t="s">
        <v>2115</v>
      </c>
      <c r="F105" s="1"/>
    </row>
    <row r="106" spans="1:6" x14ac:dyDescent="0.2">
      <c r="A106" s="194">
        <v>105</v>
      </c>
      <c r="B106" s="160" t="s">
        <v>78</v>
      </c>
      <c r="C106" s="161" t="s">
        <v>1831</v>
      </c>
      <c r="D106" s="161" t="s">
        <v>1051</v>
      </c>
      <c r="E106" s="162" t="s">
        <v>2116</v>
      </c>
      <c r="F106" s="1"/>
    </row>
    <row r="107" spans="1:6" x14ac:dyDescent="0.2">
      <c r="A107" s="194">
        <v>106</v>
      </c>
      <c r="B107" s="160" t="s">
        <v>79</v>
      </c>
      <c r="C107" s="161" t="s">
        <v>1832</v>
      </c>
      <c r="D107" s="161" t="s">
        <v>1051</v>
      </c>
      <c r="E107" s="162" t="s">
        <v>2116</v>
      </c>
      <c r="F107" s="1"/>
    </row>
    <row r="108" spans="1:6" x14ac:dyDescent="0.2">
      <c r="A108" s="194">
        <v>107</v>
      </c>
      <c r="B108" s="160" t="s">
        <v>80</v>
      </c>
      <c r="C108" s="161" t="s">
        <v>1833</v>
      </c>
      <c r="D108" s="161" t="s">
        <v>1070</v>
      </c>
      <c r="E108" s="162" t="s">
        <v>2115</v>
      </c>
      <c r="F108" s="1"/>
    </row>
    <row r="109" spans="1:6" x14ac:dyDescent="0.2">
      <c r="A109" s="194">
        <v>108</v>
      </c>
      <c r="B109" s="160" t="s">
        <v>2317</v>
      </c>
      <c r="C109" s="161" t="s">
        <v>604</v>
      </c>
      <c r="D109" s="161" t="s">
        <v>1051</v>
      </c>
      <c r="E109" s="162" t="s">
        <v>2116</v>
      </c>
      <c r="F109" s="1"/>
    </row>
    <row r="110" spans="1:6" x14ac:dyDescent="0.2">
      <c r="A110" s="194">
        <v>109</v>
      </c>
      <c r="B110" s="160" t="s">
        <v>2235</v>
      </c>
      <c r="C110" s="161" t="s">
        <v>2236</v>
      </c>
      <c r="D110" s="161" t="s">
        <v>1051</v>
      </c>
      <c r="E110" s="162" t="s">
        <v>2115</v>
      </c>
      <c r="F110" s="1"/>
    </row>
    <row r="111" spans="1:6" x14ac:dyDescent="0.2">
      <c r="A111" s="194">
        <v>110</v>
      </c>
      <c r="B111" s="160" t="s">
        <v>1075</v>
      </c>
      <c r="C111" s="161" t="s">
        <v>82</v>
      </c>
      <c r="D111" s="161" t="s">
        <v>1051</v>
      </c>
      <c r="E111" s="162" t="s">
        <v>2115</v>
      </c>
      <c r="F111" s="1"/>
    </row>
    <row r="112" spans="1:6" x14ac:dyDescent="0.2">
      <c r="A112" s="194">
        <v>111</v>
      </c>
      <c r="B112" s="160" t="s">
        <v>83</v>
      </c>
      <c r="C112" s="161" t="s">
        <v>1834</v>
      </c>
      <c r="D112" s="161" t="s">
        <v>1051</v>
      </c>
      <c r="E112" s="162" t="s">
        <v>2115</v>
      </c>
      <c r="F112" s="1"/>
    </row>
    <row r="113" spans="1:6" x14ac:dyDescent="0.2">
      <c r="A113" s="194">
        <v>112</v>
      </c>
      <c r="B113" s="160" t="s">
        <v>1076</v>
      </c>
      <c r="C113" s="161" t="s">
        <v>84</v>
      </c>
      <c r="D113" s="161" t="s">
        <v>1051</v>
      </c>
      <c r="E113" s="162" t="s">
        <v>2115</v>
      </c>
      <c r="F113" s="1"/>
    </row>
    <row r="114" spans="1:6" x14ac:dyDescent="0.2">
      <c r="A114" s="194">
        <v>113</v>
      </c>
      <c r="B114" s="160" t="s">
        <v>85</v>
      </c>
      <c r="C114" s="161" t="s">
        <v>86</v>
      </c>
      <c r="D114" s="161" t="s">
        <v>1051</v>
      </c>
      <c r="E114" s="162" t="s">
        <v>2115</v>
      </c>
      <c r="F114" s="1"/>
    </row>
    <row r="115" spans="1:6" x14ac:dyDescent="0.2">
      <c r="A115" s="194">
        <v>114</v>
      </c>
      <c r="B115" s="160" t="s">
        <v>87</v>
      </c>
      <c r="C115" s="161" t="s">
        <v>88</v>
      </c>
      <c r="D115" s="161" t="s">
        <v>1051</v>
      </c>
      <c r="E115" s="162" t="s">
        <v>2115</v>
      </c>
      <c r="F115" s="1"/>
    </row>
    <row r="116" spans="1:6" x14ac:dyDescent="0.2">
      <c r="A116" s="194">
        <v>115</v>
      </c>
      <c r="B116" s="160" t="s">
        <v>89</v>
      </c>
      <c r="C116" s="161" t="s">
        <v>90</v>
      </c>
      <c r="D116" s="161" t="s">
        <v>1051</v>
      </c>
      <c r="E116" s="162" t="s">
        <v>2115</v>
      </c>
      <c r="F116" s="1"/>
    </row>
    <row r="117" spans="1:6" x14ac:dyDescent="0.2">
      <c r="A117" s="194">
        <v>116</v>
      </c>
      <c r="B117" s="160" t="s">
        <v>91</v>
      </c>
      <c r="C117" s="161" t="s">
        <v>92</v>
      </c>
      <c r="D117" s="161" t="s">
        <v>1051</v>
      </c>
      <c r="E117" s="162" t="s">
        <v>2115</v>
      </c>
      <c r="F117" s="1"/>
    </row>
    <row r="118" spans="1:6" x14ac:dyDescent="0.2">
      <c r="A118" s="194">
        <v>117</v>
      </c>
      <c r="B118" s="160" t="s">
        <v>93</v>
      </c>
      <c r="C118" s="161" t="s">
        <v>90</v>
      </c>
      <c r="D118" s="161" t="s">
        <v>1051</v>
      </c>
      <c r="E118" s="162" t="s">
        <v>2115</v>
      </c>
      <c r="F118" s="1"/>
    </row>
    <row r="119" spans="1:6" x14ac:dyDescent="0.2">
      <c r="A119" s="194">
        <v>118</v>
      </c>
      <c r="B119" s="160" t="s">
        <v>2135</v>
      </c>
      <c r="C119" s="161" t="s">
        <v>2136</v>
      </c>
      <c r="D119" s="161" t="s">
        <v>1051</v>
      </c>
      <c r="E119" s="162" t="s">
        <v>2115</v>
      </c>
      <c r="F119" s="1"/>
    </row>
    <row r="120" spans="1:6" x14ac:dyDescent="0.2">
      <c r="A120" s="194">
        <v>119</v>
      </c>
      <c r="B120" s="160" t="s">
        <v>94</v>
      </c>
      <c r="C120" s="161" t="s">
        <v>90</v>
      </c>
      <c r="D120" s="161" t="s">
        <v>1051</v>
      </c>
      <c r="E120" s="162" t="s">
        <v>2115</v>
      </c>
      <c r="F120" s="1"/>
    </row>
    <row r="121" spans="1:6" x14ac:dyDescent="0.2">
      <c r="A121" s="194">
        <v>120</v>
      </c>
      <c r="B121" s="160" t="s">
        <v>95</v>
      </c>
      <c r="C121" s="161" t="s">
        <v>96</v>
      </c>
      <c r="D121" s="161" t="s">
        <v>1051</v>
      </c>
      <c r="E121" s="162" t="s">
        <v>2115</v>
      </c>
      <c r="F121" s="1"/>
    </row>
    <row r="122" spans="1:6" x14ac:dyDescent="0.2">
      <c r="A122" s="194">
        <v>121</v>
      </c>
      <c r="B122" s="160" t="s">
        <v>97</v>
      </c>
      <c r="C122" s="161" t="s">
        <v>682</v>
      </c>
      <c r="D122" s="161" t="s">
        <v>1051</v>
      </c>
      <c r="E122" s="162" t="s">
        <v>2115</v>
      </c>
      <c r="F122" s="1"/>
    </row>
    <row r="123" spans="1:6" x14ac:dyDescent="0.2">
      <c r="A123" s="194">
        <v>122</v>
      </c>
      <c r="B123" s="160" t="s">
        <v>98</v>
      </c>
      <c r="C123" s="161" t="s">
        <v>1835</v>
      </c>
      <c r="D123" s="161" t="s">
        <v>1051</v>
      </c>
      <c r="E123" s="162" t="s">
        <v>2354</v>
      </c>
      <c r="F123" s="1"/>
    </row>
    <row r="124" spans="1:6" x14ac:dyDescent="0.2">
      <c r="A124" s="194">
        <v>123</v>
      </c>
      <c r="B124" s="160" t="s">
        <v>99</v>
      </c>
      <c r="C124" s="161" t="s">
        <v>100</v>
      </c>
      <c r="D124" s="161" t="s">
        <v>1051</v>
      </c>
      <c r="E124" s="162" t="s">
        <v>2115</v>
      </c>
      <c r="F124" s="1"/>
    </row>
    <row r="125" spans="1:6" x14ac:dyDescent="0.2">
      <c r="A125" s="194">
        <v>124</v>
      </c>
      <c r="B125" s="160" t="s">
        <v>101</v>
      </c>
      <c r="C125" s="161" t="s">
        <v>102</v>
      </c>
      <c r="D125" s="161" t="s">
        <v>1051</v>
      </c>
      <c r="E125" s="162" t="s">
        <v>2115</v>
      </c>
      <c r="F125" s="1"/>
    </row>
    <row r="126" spans="1:6" x14ac:dyDescent="0.2">
      <c r="A126" s="194">
        <v>125</v>
      </c>
      <c r="B126" s="160" t="s">
        <v>1487</v>
      </c>
      <c r="C126" s="161" t="s">
        <v>2358</v>
      </c>
      <c r="D126" s="161" t="s">
        <v>1050</v>
      </c>
      <c r="E126" s="164" t="s">
        <v>2116</v>
      </c>
      <c r="F126" s="1"/>
    </row>
    <row r="127" spans="1:6" x14ac:dyDescent="0.2">
      <c r="A127" s="194">
        <v>126</v>
      </c>
      <c r="B127" s="160" t="s">
        <v>1488</v>
      </c>
      <c r="C127" s="161" t="s">
        <v>1836</v>
      </c>
      <c r="D127" s="161" t="s">
        <v>1050</v>
      </c>
      <c r="E127" s="162" t="s">
        <v>2354</v>
      </c>
      <c r="F127" s="1"/>
    </row>
    <row r="128" spans="1:6" x14ac:dyDescent="0.2">
      <c r="A128" s="194">
        <v>127</v>
      </c>
      <c r="B128" s="160" t="s">
        <v>103</v>
      </c>
      <c r="C128" s="161" t="s">
        <v>1489</v>
      </c>
      <c r="D128" s="161" t="s">
        <v>1070</v>
      </c>
      <c r="E128" s="162" t="s">
        <v>2116</v>
      </c>
      <c r="F128" s="1"/>
    </row>
    <row r="129" spans="1:6" x14ac:dyDescent="0.2">
      <c r="A129" s="194">
        <v>128</v>
      </c>
      <c r="B129" s="160" t="s">
        <v>104</v>
      </c>
      <c r="C129" s="161" t="s">
        <v>1490</v>
      </c>
      <c r="D129" s="161" t="s">
        <v>1070</v>
      </c>
      <c r="E129" s="162" t="s">
        <v>2116</v>
      </c>
      <c r="F129" s="1"/>
    </row>
    <row r="130" spans="1:6" x14ac:dyDescent="0.2">
      <c r="A130" s="194">
        <v>129</v>
      </c>
      <c r="B130" s="160" t="s">
        <v>105</v>
      </c>
      <c r="C130" s="161" t="s">
        <v>1491</v>
      </c>
      <c r="D130" s="161" t="s">
        <v>1070</v>
      </c>
      <c r="E130" s="162" t="s">
        <v>2115</v>
      </c>
      <c r="F130" s="1"/>
    </row>
    <row r="131" spans="1:6" x14ac:dyDescent="0.2">
      <c r="A131" s="194">
        <v>130</v>
      </c>
      <c r="B131" s="160" t="s">
        <v>107</v>
      </c>
      <c r="C131" s="161" t="s">
        <v>108</v>
      </c>
      <c r="D131" s="161" t="s">
        <v>1051</v>
      </c>
      <c r="E131" s="162" t="s">
        <v>2115</v>
      </c>
      <c r="F131" s="1"/>
    </row>
    <row r="132" spans="1:6" x14ac:dyDescent="0.2">
      <c r="A132" s="194">
        <v>131</v>
      </c>
      <c r="B132" s="160" t="s">
        <v>109</v>
      </c>
      <c r="C132" s="161" t="s">
        <v>108</v>
      </c>
      <c r="D132" s="161" t="s">
        <v>1070</v>
      </c>
      <c r="E132" s="162" t="s">
        <v>2115</v>
      </c>
      <c r="F132" s="1"/>
    </row>
    <row r="133" spans="1:6" x14ac:dyDescent="0.2">
      <c r="A133" s="194">
        <v>132</v>
      </c>
      <c r="B133" s="160" t="s">
        <v>110</v>
      </c>
      <c r="C133" s="161" t="s">
        <v>108</v>
      </c>
      <c r="D133" s="161" t="s">
        <v>1051</v>
      </c>
      <c r="E133" s="162" t="s">
        <v>2115</v>
      </c>
      <c r="F133" s="1"/>
    </row>
    <row r="134" spans="1:6" x14ac:dyDescent="0.2">
      <c r="A134" s="194">
        <v>133</v>
      </c>
      <c r="B134" s="160" t="s">
        <v>111</v>
      </c>
      <c r="C134" s="161" t="s">
        <v>1077</v>
      </c>
      <c r="D134" s="161" t="s">
        <v>1051</v>
      </c>
      <c r="E134" s="162" t="s">
        <v>2115</v>
      </c>
      <c r="F134" s="1"/>
    </row>
    <row r="135" spans="1:6" x14ac:dyDescent="0.2">
      <c r="A135" s="194">
        <v>134</v>
      </c>
      <c r="B135" s="160" t="s">
        <v>112</v>
      </c>
      <c r="C135" s="161" t="s">
        <v>108</v>
      </c>
      <c r="D135" s="161" t="s">
        <v>1051</v>
      </c>
      <c r="E135" s="162" t="s">
        <v>2115</v>
      </c>
      <c r="F135" s="1"/>
    </row>
    <row r="136" spans="1:6" x14ac:dyDescent="0.2">
      <c r="A136" s="194">
        <v>135</v>
      </c>
      <c r="B136" s="160" t="s">
        <v>113</v>
      </c>
      <c r="C136" s="161" t="s">
        <v>108</v>
      </c>
      <c r="D136" s="161" t="s">
        <v>1051</v>
      </c>
      <c r="E136" s="162" t="s">
        <v>2115</v>
      </c>
      <c r="F136" s="1"/>
    </row>
    <row r="137" spans="1:6" x14ac:dyDescent="0.2">
      <c r="A137" s="194">
        <v>136</v>
      </c>
      <c r="B137" s="160" t="s">
        <v>114</v>
      </c>
      <c r="C137" s="161" t="s">
        <v>108</v>
      </c>
      <c r="D137" s="161" t="s">
        <v>1051</v>
      </c>
      <c r="E137" s="162" t="s">
        <v>2115</v>
      </c>
      <c r="F137" s="1"/>
    </row>
    <row r="138" spans="1:6" x14ac:dyDescent="0.2">
      <c r="A138" s="194">
        <v>137</v>
      </c>
      <c r="B138" s="160" t="s">
        <v>115</v>
      </c>
      <c r="C138" s="161" t="s">
        <v>1492</v>
      </c>
      <c r="D138" s="161" t="s">
        <v>1070</v>
      </c>
      <c r="E138" s="162" t="s">
        <v>2115</v>
      </c>
      <c r="F138" s="1"/>
    </row>
    <row r="139" spans="1:6" x14ac:dyDescent="0.2">
      <c r="A139" s="194">
        <v>138</v>
      </c>
      <c r="B139" s="160" t="s">
        <v>1837</v>
      </c>
      <c r="C139" s="161" t="s">
        <v>106</v>
      </c>
      <c r="D139" s="161" t="s">
        <v>1051</v>
      </c>
      <c r="E139" s="162" t="s">
        <v>2115</v>
      </c>
      <c r="F139" s="1"/>
    </row>
    <row r="140" spans="1:6" x14ac:dyDescent="0.2">
      <c r="A140" s="194">
        <v>139</v>
      </c>
      <c r="B140" s="160" t="s">
        <v>116</v>
      </c>
      <c r="C140" s="161" t="s">
        <v>117</v>
      </c>
      <c r="D140" s="161" t="s">
        <v>1051</v>
      </c>
      <c r="E140" s="162" t="s">
        <v>2115</v>
      </c>
      <c r="F140" s="1"/>
    </row>
    <row r="141" spans="1:6" x14ac:dyDescent="0.2">
      <c r="A141" s="194">
        <v>140</v>
      </c>
      <c r="B141" s="160" t="s">
        <v>118</v>
      </c>
      <c r="C141" s="161" t="s">
        <v>1493</v>
      </c>
      <c r="D141" s="161" t="s">
        <v>1070</v>
      </c>
      <c r="E141" s="162" t="s">
        <v>2115</v>
      </c>
      <c r="F141" s="1"/>
    </row>
    <row r="142" spans="1:6" x14ac:dyDescent="0.2">
      <c r="A142" s="194">
        <v>141</v>
      </c>
      <c r="B142" s="160" t="s">
        <v>2137</v>
      </c>
      <c r="C142" s="161" t="s">
        <v>2138</v>
      </c>
      <c r="D142" s="161" t="s">
        <v>1050</v>
      </c>
      <c r="E142" s="162" t="s">
        <v>2115</v>
      </c>
      <c r="F142" s="1"/>
    </row>
    <row r="143" spans="1:6" x14ac:dyDescent="0.2">
      <c r="A143" s="194">
        <v>142</v>
      </c>
      <c r="B143" s="160" t="s">
        <v>120</v>
      </c>
      <c r="C143" s="161" t="s">
        <v>119</v>
      </c>
      <c r="D143" s="161" t="s">
        <v>1050</v>
      </c>
      <c r="E143" s="162" t="s">
        <v>2115</v>
      </c>
      <c r="F143" s="1"/>
    </row>
    <row r="144" spans="1:6" x14ac:dyDescent="0.2">
      <c r="A144" s="194">
        <v>143</v>
      </c>
      <c r="B144" s="160" t="s">
        <v>121</v>
      </c>
      <c r="C144" s="161" t="s">
        <v>106</v>
      </c>
      <c r="D144" s="161" t="s">
        <v>1051</v>
      </c>
      <c r="E144" s="162" t="s">
        <v>2115</v>
      </c>
      <c r="F144" s="1"/>
    </row>
    <row r="145" spans="1:6" x14ac:dyDescent="0.2">
      <c r="A145" s="194">
        <v>144</v>
      </c>
      <c r="B145" s="160" t="s">
        <v>122</v>
      </c>
      <c r="C145" s="161" t="s">
        <v>2139</v>
      </c>
      <c r="D145" s="161" t="s">
        <v>1051</v>
      </c>
      <c r="E145" s="162" t="s">
        <v>2115</v>
      </c>
      <c r="F145" s="1"/>
    </row>
    <row r="146" spans="1:6" x14ac:dyDescent="0.2">
      <c r="A146" s="194">
        <v>145</v>
      </c>
      <c r="B146" s="160" t="s">
        <v>123</v>
      </c>
      <c r="C146" s="161" t="s">
        <v>124</v>
      </c>
      <c r="D146" s="161" t="s">
        <v>1050</v>
      </c>
      <c r="E146" s="162" t="s">
        <v>2116</v>
      </c>
      <c r="F146" s="1"/>
    </row>
    <row r="147" spans="1:6" x14ac:dyDescent="0.2">
      <c r="A147" s="194">
        <v>146</v>
      </c>
      <c r="B147" s="160" t="s">
        <v>125</v>
      </c>
      <c r="C147" s="161" t="s">
        <v>126</v>
      </c>
      <c r="D147" s="161" t="s">
        <v>1050</v>
      </c>
      <c r="E147" s="162" t="s">
        <v>2116</v>
      </c>
      <c r="F147" s="1"/>
    </row>
    <row r="148" spans="1:6" x14ac:dyDescent="0.2">
      <c r="A148" s="194">
        <v>147</v>
      </c>
      <c r="B148" s="160" t="s">
        <v>127</v>
      </c>
      <c r="C148" s="161" t="s">
        <v>128</v>
      </c>
      <c r="D148" s="161" t="s">
        <v>1051</v>
      </c>
      <c r="E148" s="162" t="s">
        <v>743</v>
      </c>
      <c r="F148" s="1"/>
    </row>
    <row r="149" spans="1:6" x14ac:dyDescent="0.2">
      <c r="A149" s="194">
        <v>148</v>
      </c>
      <c r="B149" s="160" t="s">
        <v>2306</v>
      </c>
      <c r="C149" s="161" t="s">
        <v>129</v>
      </c>
      <c r="D149" s="161" t="s">
        <v>1051</v>
      </c>
      <c r="E149" s="162" t="s">
        <v>743</v>
      </c>
      <c r="F149" s="1"/>
    </row>
    <row r="150" spans="1:6" x14ac:dyDescent="0.2">
      <c r="A150" s="194">
        <v>149</v>
      </c>
      <c r="B150" s="160" t="s">
        <v>2307</v>
      </c>
      <c r="C150" s="161" t="s">
        <v>130</v>
      </c>
      <c r="D150" s="161" t="s">
        <v>1070</v>
      </c>
      <c r="E150" s="162" t="s">
        <v>743</v>
      </c>
      <c r="F150" s="1"/>
    </row>
    <row r="151" spans="1:6" x14ac:dyDescent="0.2">
      <c r="A151" s="194">
        <v>150</v>
      </c>
      <c r="B151" s="160" t="s">
        <v>1838</v>
      </c>
      <c r="C151" s="161" t="s">
        <v>133</v>
      </c>
      <c r="D151" s="161" t="s">
        <v>1070</v>
      </c>
      <c r="E151" s="162" t="s">
        <v>743</v>
      </c>
      <c r="F151" s="1"/>
    </row>
    <row r="152" spans="1:6" x14ac:dyDescent="0.2">
      <c r="A152" s="194">
        <v>151</v>
      </c>
      <c r="B152" s="160" t="s">
        <v>131</v>
      </c>
      <c r="C152" s="161" t="s">
        <v>1839</v>
      </c>
      <c r="D152" s="161" t="s">
        <v>1051</v>
      </c>
      <c r="E152" s="162" t="s">
        <v>743</v>
      </c>
      <c r="F152" s="1"/>
    </row>
    <row r="153" spans="1:6" x14ac:dyDescent="0.2">
      <c r="A153" s="194">
        <v>152</v>
      </c>
      <c r="B153" s="160" t="s">
        <v>132</v>
      </c>
      <c r="C153" s="161" t="s">
        <v>1840</v>
      </c>
      <c r="D153" s="161" t="s">
        <v>1051</v>
      </c>
      <c r="E153" s="162" t="s">
        <v>743</v>
      </c>
      <c r="F153" s="1"/>
    </row>
    <row r="154" spans="1:6" x14ac:dyDescent="0.2">
      <c r="A154" s="194">
        <v>153</v>
      </c>
      <c r="B154" s="160" t="s">
        <v>134</v>
      </c>
      <c r="C154" s="161" t="s">
        <v>135</v>
      </c>
      <c r="D154" s="161" t="s">
        <v>1051</v>
      </c>
      <c r="E154" s="162" t="s">
        <v>2116</v>
      </c>
      <c r="F154" s="1"/>
    </row>
    <row r="155" spans="1:6" x14ac:dyDescent="0.2">
      <c r="A155" s="194">
        <v>154</v>
      </c>
      <c r="B155" s="160" t="s">
        <v>136</v>
      </c>
      <c r="C155" s="161" t="s">
        <v>1494</v>
      </c>
      <c r="D155" s="161" t="s">
        <v>1070</v>
      </c>
      <c r="E155" s="162" t="s">
        <v>2116</v>
      </c>
      <c r="F155" s="1"/>
    </row>
    <row r="156" spans="1:6" x14ac:dyDescent="0.2">
      <c r="A156" s="194">
        <v>155</v>
      </c>
      <c r="B156" s="160" t="s">
        <v>138</v>
      </c>
      <c r="C156" s="161" t="s">
        <v>1841</v>
      </c>
      <c r="D156" s="161" t="s">
        <v>1051</v>
      </c>
      <c r="E156" s="162" t="s">
        <v>2321</v>
      </c>
      <c r="F156" s="1"/>
    </row>
    <row r="157" spans="1:6" x14ac:dyDescent="0.2">
      <c r="A157" s="194">
        <v>156</v>
      </c>
      <c r="B157" s="160" t="s">
        <v>140</v>
      </c>
      <c r="C157" s="161" t="s">
        <v>139</v>
      </c>
      <c r="D157" s="161" t="s">
        <v>1050</v>
      </c>
      <c r="E157" s="162" t="s">
        <v>2115</v>
      </c>
      <c r="F157" s="1"/>
    </row>
    <row r="158" spans="1:6" x14ac:dyDescent="0.2">
      <c r="A158" s="194">
        <v>157</v>
      </c>
      <c r="B158" s="160" t="s">
        <v>1842</v>
      </c>
      <c r="C158" s="161" t="s">
        <v>1843</v>
      </c>
      <c r="D158" s="161" t="s">
        <v>1050</v>
      </c>
      <c r="E158" s="162" t="s">
        <v>2116</v>
      </c>
      <c r="F158" s="1"/>
    </row>
    <row r="159" spans="1:6" x14ac:dyDescent="0.2">
      <c r="A159" s="194">
        <v>158</v>
      </c>
      <c r="B159" s="160" t="s">
        <v>141</v>
      </c>
      <c r="C159" s="161" t="s">
        <v>1844</v>
      </c>
      <c r="D159" s="161" t="s">
        <v>1050</v>
      </c>
      <c r="E159" s="162" t="s">
        <v>2116</v>
      </c>
      <c r="F159" s="1"/>
    </row>
    <row r="160" spans="1:6" x14ac:dyDescent="0.2">
      <c r="A160" s="194">
        <v>159</v>
      </c>
      <c r="B160" s="160" t="s">
        <v>142</v>
      </c>
      <c r="C160" s="161" t="s">
        <v>1843</v>
      </c>
      <c r="D160" s="161" t="s">
        <v>1050</v>
      </c>
      <c r="E160" s="162" t="s">
        <v>2116</v>
      </c>
      <c r="F160" s="1"/>
    </row>
    <row r="161" spans="1:6" x14ac:dyDescent="0.2">
      <c r="A161" s="194">
        <v>160</v>
      </c>
      <c r="B161" s="160" t="s">
        <v>2140</v>
      </c>
      <c r="C161" s="162" t="s">
        <v>1843</v>
      </c>
      <c r="D161" s="161" t="s">
        <v>1050</v>
      </c>
      <c r="E161" s="162" t="s">
        <v>2116</v>
      </c>
      <c r="F161" s="1"/>
    </row>
    <row r="162" spans="1:6" x14ac:dyDescent="0.2">
      <c r="A162" s="194">
        <v>161</v>
      </c>
      <c r="B162" s="160" t="s">
        <v>143</v>
      </c>
      <c r="C162" s="161" t="s">
        <v>1495</v>
      </c>
      <c r="D162" s="161" t="s">
        <v>1050</v>
      </c>
      <c r="E162" s="162" t="s">
        <v>696</v>
      </c>
      <c r="F162" s="1"/>
    </row>
    <row r="163" spans="1:6" x14ac:dyDescent="0.2">
      <c r="A163" s="194">
        <v>162</v>
      </c>
      <c r="B163" s="160" t="s">
        <v>144</v>
      </c>
      <c r="C163" s="161" t="s">
        <v>1845</v>
      </c>
      <c r="D163" s="161" t="s">
        <v>1050</v>
      </c>
      <c r="E163" s="162" t="s">
        <v>696</v>
      </c>
      <c r="F163" s="1"/>
    </row>
    <row r="164" spans="1:6" x14ac:dyDescent="0.2">
      <c r="A164" s="194">
        <v>163</v>
      </c>
      <c r="B164" s="160" t="s">
        <v>145</v>
      </c>
      <c r="C164" s="161" t="s">
        <v>1846</v>
      </c>
      <c r="D164" s="161" t="s">
        <v>1051</v>
      </c>
      <c r="E164" s="162" t="s">
        <v>2115</v>
      </c>
      <c r="F164" s="1"/>
    </row>
    <row r="165" spans="1:6" x14ac:dyDescent="0.2">
      <c r="A165" s="194">
        <v>164</v>
      </c>
      <c r="B165" s="160" t="s">
        <v>146</v>
      </c>
      <c r="C165" s="161" t="s">
        <v>1847</v>
      </c>
      <c r="D165" s="161" t="s">
        <v>1050</v>
      </c>
      <c r="E165" s="162" t="s">
        <v>2116</v>
      </c>
      <c r="F165" s="1"/>
    </row>
    <row r="166" spans="1:6" x14ac:dyDescent="0.2">
      <c r="A166" s="194">
        <v>165</v>
      </c>
      <c r="B166" s="160" t="s">
        <v>147</v>
      </c>
      <c r="C166" s="161" t="s">
        <v>148</v>
      </c>
      <c r="D166" s="161" t="s">
        <v>1070</v>
      </c>
      <c r="E166" s="162" t="s">
        <v>2123</v>
      </c>
      <c r="F166" s="1"/>
    </row>
    <row r="167" spans="1:6" x14ac:dyDescent="0.2">
      <c r="A167" s="194">
        <v>166</v>
      </c>
      <c r="B167" s="160" t="s">
        <v>149</v>
      </c>
      <c r="C167" s="161" t="s">
        <v>150</v>
      </c>
      <c r="D167" s="161" t="s">
        <v>1051</v>
      </c>
      <c r="E167" s="162" t="s">
        <v>2115</v>
      </c>
      <c r="F167" s="1"/>
    </row>
    <row r="168" spans="1:6" x14ac:dyDescent="0.2">
      <c r="A168" s="194">
        <v>167</v>
      </c>
      <c r="B168" s="160" t="s">
        <v>151</v>
      </c>
      <c r="C168" s="161" t="s">
        <v>1848</v>
      </c>
      <c r="D168" s="161" t="s">
        <v>1051</v>
      </c>
      <c r="E168" s="162" t="s">
        <v>2115</v>
      </c>
      <c r="F168" s="1"/>
    </row>
    <row r="169" spans="1:6" x14ac:dyDescent="0.2">
      <c r="A169" s="194">
        <v>168</v>
      </c>
      <c r="B169" s="160" t="s">
        <v>152</v>
      </c>
      <c r="C169" s="161" t="s">
        <v>1849</v>
      </c>
      <c r="D169" s="161" t="s">
        <v>1050</v>
      </c>
      <c r="E169" s="162" t="s">
        <v>696</v>
      </c>
      <c r="F169" s="1"/>
    </row>
    <row r="170" spans="1:6" x14ac:dyDescent="0.2">
      <c r="A170" s="194">
        <v>169</v>
      </c>
      <c r="B170" s="160" t="s">
        <v>153</v>
      </c>
      <c r="C170" s="161" t="s">
        <v>1496</v>
      </c>
      <c r="D170" s="161" t="s">
        <v>1050</v>
      </c>
      <c r="E170" s="162" t="s">
        <v>2115</v>
      </c>
      <c r="F170" s="1"/>
    </row>
    <row r="171" spans="1:6" x14ac:dyDescent="0.2">
      <c r="A171" s="194">
        <v>170</v>
      </c>
      <c r="B171" s="173" t="s">
        <v>2308</v>
      </c>
      <c r="C171" s="174" t="s">
        <v>2309</v>
      </c>
      <c r="D171" s="174" t="s">
        <v>1051</v>
      </c>
      <c r="E171" s="174" t="s">
        <v>2115</v>
      </c>
      <c r="F171" s="1"/>
    </row>
    <row r="172" spans="1:6" x14ac:dyDescent="0.2">
      <c r="A172" s="194">
        <v>171</v>
      </c>
      <c r="B172" s="160" t="s">
        <v>154</v>
      </c>
      <c r="C172" s="161" t="s">
        <v>155</v>
      </c>
      <c r="D172" s="161" t="s">
        <v>1051</v>
      </c>
      <c r="E172" s="162" t="s">
        <v>2116</v>
      </c>
      <c r="F172" s="1"/>
    </row>
    <row r="173" spans="1:6" x14ac:dyDescent="0.2">
      <c r="A173" s="194">
        <v>172</v>
      </c>
      <c r="B173" s="160" t="s">
        <v>156</v>
      </c>
      <c r="C173" s="161" t="s">
        <v>1850</v>
      </c>
      <c r="D173" s="161" t="s">
        <v>1051</v>
      </c>
      <c r="E173" s="162" t="s">
        <v>2116</v>
      </c>
      <c r="F173" s="1"/>
    </row>
    <row r="174" spans="1:6" x14ac:dyDescent="0.2">
      <c r="A174" s="194">
        <v>173</v>
      </c>
      <c r="B174" s="160" t="s">
        <v>157</v>
      </c>
      <c r="C174" s="161" t="s">
        <v>158</v>
      </c>
      <c r="D174" s="161" t="s">
        <v>1051</v>
      </c>
      <c r="E174" s="162" t="s">
        <v>2116</v>
      </c>
      <c r="F174" s="1"/>
    </row>
    <row r="175" spans="1:6" x14ac:dyDescent="0.2">
      <c r="A175" s="194">
        <v>174</v>
      </c>
      <c r="B175" s="160" t="s">
        <v>159</v>
      </c>
      <c r="C175" s="161" t="s">
        <v>160</v>
      </c>
      <c r="D175" s="161" t="s">
        <v>1051</v>
      </c>
      <c r="E175" s="162" t="s">
        <v>2116</v>
      </c>
      <c r="F175" s="1"/>
    </row>
    <row r="176" spans="1:6" x14ac:dyDescent="0.2">
      <c r="A176" s="194">
        <v>175</v>
      </c>
      <c r="B176" s="160" t="s">
        <v>1497</v>
      </c>
      <c r="C176" s="161" t="s">
        <v>2359</v>
      </c>
      <c r="D176" s="161" t="s">
        <v>1050</v>
      </c>
      <c r="E176" s="162" t="s">
        <v>2115</v>
      </c>
      <c r="F176" s="1"/>
    </row>
    <row r="177" spans="1:6" x14ac:dyDescent="0.2">
      <c r="A177" s="194">
        <v>176</v>
      </c>
      <c r="B177" s="160" t="s">
        <v>161</v>
      </c>
      <c r="C177" s="161" t="s">
        <v>1851</v>
      </c>
      <c r="D177" s="161" t="s">
        <v>1050</v>
      </c>
      <c r="E177" s="162" t="s">
        <v>2115</v>
      </c>
      <c r="F177" s="1"/>
    </row>
    <row r="178" spans="1:6" x14ac:dyDescent="0.2">
      <c r="A178" s="194">
        <v>177</v>
      </c>
      <c r="B178" s="160" t="s">
        <v>162</v>
      </c>
      <c r="C178" s="161" t="s">
        <v>163</v>
      </c>
      <c r="D178" s="161" t="s">
        <v>1050</v>
      </c>
      <c r="E178" s="162" t="s">
        <v>2115</v>
      </c>
      <c r="F178" s="1"/>
    </row>
    <row r="179" spans="1:6" x14ac:dyDescent="0.2">
      <c r="A179" s="194">
        <v>178</v>
      </c>
      <c r="B179" s="160" t="s">
        <v>164</v>
      </c>
      <c r="C179" s="161" t="s">
        <v>165</v>
      </c>
      <c r="D179" s="161" t="s">
        <v>1051</v>
      </c>
      <c r="E179" s="162" t="s">
        <v>2321</v>
      </c>
      <c r="F179" s="1"/>
    </row>
    <row r="180" spans="1:6" x14ac:dyDescent="0.2">
      <c r="A180" s="194">
        <v>179</v>
      </c>
      <c r="B180" s="160" t="s">
        <v>166</v>
      </c>
      <c r="C180" s="161" t="s">
        <v>167</v>
      </c>
      <c r="D180" s="161" t="s">
        <v>1050</v>
      </c>
      <c r="E180" s="162" t="s">
        <v>2115</v>
      </c>
      <c r="F180" s="1"/>
    </row>
    <row r="181" spans="1:6" x14ac:dyDescent="0.2">
      <c r="A181" s="194">
        <v>180</v>
      </c>
      <c r="B181" s="160" t="s">
        <v>168</v>
      </c>
      <c r="C181" s="161" t="s">
        <v>169</v>
      </c>
      <c r="D181" s="161" t="s">
        <v>1050</v>
      </c>
      <c r="E181" s="162" t="s">
        <v>2115</v>
      </c>
      <c r="F181" s="1"/>
    </row>
    <row r="182" spans="1:6" x14ac:dyDescent="0.2">
      <c r="A182" s="194">
        <v>181</v>
      </c>
      <c r="B182" s="160" t="s">
        <v>170</v>
      </c>
      <c r="C182" s="161" t="s">
        <v>171</v>
      </c>
      <c r="D182" s="161" t="s">
        <v>1050</v>
      </c>
      <c r="E182" s="162" t="s">
        <v>2115</v>
      </c>
      <c r="F182" s="1"/>
    </row>
    <row r="183" spans="1:6" x14ac:dyDescent="0.2">
      <c r="A183" s="194">
        <v>182</v>
      </c>
      <c r="B183" s="160" t="s">
        <v>172</v>
      </c>
      <c r="C183" s="161" t="s">
        <v>1078</v>
      </c>
      <c r="D183" s="161" t="s">
        <v>1050</v>
      </c>
      <c r="E183" s="162" t="s">
        <v>2354</v>
      </c>
      <c r="F183" s="1"/>
    </row>
    <row r="184" spans="1:6" x14ac:dyDescent="0.2">
      <c r="A184" s="194">
        <v>183</v>
      </c>
      <c r="B184" s="160" t="s">
        <v>173</v>
      </c>
      <c r="C184" s="161" t="s">
        <v>1079</v>
      </c>
      <c r="D184" s="161" t="s">
        <v>1050</v>
      </c>
      <c r="E184" s="162" t="s">
        <v>2354</v>
      </c>
      <c r="F184" s="1"/>
    </row>
    <row r="185" spans="1:6" x14ac:dyDescent="0.2">
      <c r="A185" s="194">
        <v>184</v>
      </c>
      <c r="B185" s="160" t="s">
        <v>174</v>
      </c>
      <c r="C185" s="161" t="s">
        <v>174</v>
      </c>
      <c r="D185" s="161" t="s">
        <v>1050</v>
      </c>
      <c r="E185" s="162" t="s">
        <v>2354</v>
      </c>
      <c r="F185" s="1"/>
    </row>
    <row r="186" spans="1:6" x14ac:dyDescent="0.2">
      <c r="A186" s="194">
        <v>185</v>
      </c>
      <c r="B186" s="160" t="s">
        <v>1852</v>
      </c>
      <c r="C186" s="161" t="s">
        <v>1853</v>
      </c>
      <c r="D186" s="161" t="s">
        <v>1070</v>
      </c>
      <c r="E186" s="162" t="s">
        <v>2115</v>
      </c>
      <c r="F186" s="1"/>
    </row>
    <row r="187" spans="1:6" x14ac:dyDescent="0.2">
      <c r="A187" s="194">
        <v>186</v>
      </c>
      <c r="B187" s="160" t="s">
        <v>1854</v>
      </c>
      <c r="C187" s="161" t="s">
        <v>175</v>
      </c>
      <c r="D187" s="161" t="s">
        <v>1051</v>
      </c>
      <c r="E187" s="162" t="s">
        <v>2123</v>
      </c>
      <c r="F187" s="1"/>
    </row>
    <row r="188" spans="1:6" x14ac:dyDescent="0.2">
      <c r="A188" s="194">
        <v>187</v>
      </c>
      <c r="B188" s="160" t="s">
        <v>1855</v>
      </c>
      <c r="C188" s="161" t="s">
        <v>175</v>
      </c>
      <c r="D188" s="161" t="s">
        <v>1050</v>
      </c>
      <c r="E188" s="162" t="s">
        <v>2123</v>
      </c>
      <c r="F188" s="1"/>
    </row>
    <row r="189" spans="1:6" x14ac:dyDescent="0.2">
      <c r="A189" s="194">
        <v>188</v>
      </c>
      <c r="B189" s="160" t="s">
        <v>2141</v>
      </c>
      <c r="C189" s="162" t="s">
        <v>2142</v>
      </c>
      <c r="D189" s="161" t="s">
        <v>1050</v>
      </c>
      <c r="E189" s="162" t="s">
        <v>2123</v>
      </c>
      <c r="F189" s="1"/>
    </row>
    <row r="190" spans="1:6" x14ac:dyDescent="0.2">
      <c r="A190" s="194">
        <v>189</v>
      </c>
      <c r="B190" s="173" t="s">
        <v>2310</v>
      </c>
      <c r="C190" s="174" t="s">
        <v>2311</v>
      </c>
      <c r="D190" s="174" t="s">
        <v>1050</v>
      </c>
      <c r="E190" s="174" t="s">
        <v>2115</v>
      </c>
      <c r="F190" s="1"/>
    </row>
    <row r="191" spans="1:6" x14ac:dyDescent="0.2">
      <c r="A191" s="194">
        <v>190</v>
      </c>
      <c r="B191" s="160" t="s">
        <v>177</v>
      </c>
      <c r="C191" s="161" t="s">
        <v>1856</v>
      </c>
      <c r="D191" s="161" t="s">
        <v>1050</v>
      </c>
      <c r="E191" s="162" t="s">
        <v>2116</v>
      </c>
      <c r="F191" s="1"/>
    </row>
    <row r="192" spans="1:6" x14ac:dyDescent="0.2">
      <c r="A192" s="194">
        <v>191</v>
      </c>
      <c r="B192" s="160" t="s">
        <v>178</v>
      </c>
      <c r="C192" s="161" t="s">
        <v>179</v>
      </c>
      <c r="D192" s="161" t="s">
        <v>1050</v>
      </c>
      <c r="E192" s="162" t="s">
        <v>2116</v>
      </c>
      <c r="F192" s="1"/>
    </row>
    <row r="193" spans="1:6" x14ac:dyDescent="0.2">
      <c r="A193" s="194">
        <v>192</v>
      </c>
      <c r="B193" s="160" t="s">
        <v>2143</v>
      </c>
      <c r="C193" s="162" t="s">
        <v>179</v>
      </c>
      <c r="D193" s="161" t="s">
        <v>1050</v>
      </c>
      <c r="E193" s="162" t="s">
        <v>2116</v>
      </c>
      <c r="F193" s="1"/>
    </row>
    <row r="194" spans="1:6" x14ac:dyDescent="0.2">
      <c r="A194" s="194">
        <v>193</v>
      </c>
      <c r="B194" s="160" t="s">
        <v>180</v>
      </c>
      <c r="C194" s="161" t="s">
        <v>1498</v>
      </c>
      <c r="D194" s="161" t="s">
        <v>1050</v>
      </c>
      <c r="E194" s="162" t="s">
        <v>2116</v>
      </c>
      <c r="F194" s="1"/>
    </row>
    <row r="195" spans="1:6" x14ac:dyDescent="0.2">
      <c r="A195" s="194">
        <v>194</v>
      </c>
      <c r="B195" s="160" t="s">
        <v>181</v>
      </c>
      <c r="C195" s="161" t="s">
        <v>182</v>
      </c>
      <c r="D195" s="161" t="s">
        <v>1050</v>
      </c>
      <c r="E195" s="162" t="s">
        <v>2116</v>
      </c>
      <c r="F195" s="1"/>
    </row>
    <row r="196" spans="1:6" x14ac:dyDescent="0.2">
      <c r="A196" s="194">
        <v>195</v>
      </c>
      <c r="B196" s="160" t="s">
        <v>183</v>
      </c>
      <c r="C196" s="161" t="s">
        <v>1499</v>
      </c>
      <c r="D196" s="161" t="s">
        <v>1050</v>
      </c>
      <c r="E196" s="162" t="s">
        <v>2116</v>
      </c>
      <c r="F196" s="1"/>
    </row>
    <row r="197" spans="1:6" x14ac:dyDescent="0.2">
      <c r="A197" s="194">
        <v>196</v>
      </c>
      <c r="B197" s="160" t="s">
        <v>184</v>
      </c>
      <c r="C197" s="161" t="s">
        <v>1500</v>
      </c>
      <c r="D197" s="161" t="s">
        <v>1050</v>
      </c>
      <c r="E197" s="162" t="s">
        <v>2116</v>
      </c>
      <c r="F197" s="1"/>
    </row>
    <row r="198" spans="1:6" x14ac:dyDescent="0.2">
      <c r="A198" s="194">
        <v>197</v>
      </c>
      <c r="B198" s="160" t="s">
        <v>185</v>
      </c>
      <c r="C198" s="161" t="s">
        <v>1857</v>
      </c>
      <c r="D198" s="161" t="s">
        <v>1050</v>
      </c>
      <c r="E198" s="162" t="s">
        <v>2116</v>
      </c>
      <c r="F198" s="1"/>
    </row>
    <row r="199" spans="1:6" x14ac:dyDescent="0.2">
      <c r="A199" s="194">
        <v>198</v>
      </c>
      <c r="B199" s="160" t="s">
        <v>186</v>
      </c>
      <c r="C199" s="161" t="s">
        <v>1080</v>
      </c>
      <c r="D199" s="161" t="s">
        <v>1050</v>
      </c>
      <c r="E199" s="162" t="s">
        <v>2116</v>
      </c>
      <c r="F199" s="1"/>
    </row>
    <row r="200" spans="1:6" x14ac:dyDescent="0.2">
      <c r="A200" s="194">
        <v>199</v>
      </c>
      <c r="B200" s="160" t="s">
        <v>187</v>
      </c>
      <c r="C200" s="161" t="s">
        <v>1858</v>
      </c>
      <c r="D200" s="161" t="s">
        <v>1050</v>
      </c>
      <c r="E200" s="162" t="s">
        <v>2116</v>
      </c>
      <c r="F200" s="1"/>
    </row>
    <row r="201" spans="1:6" x14ac:dyDescent="0.2">
      <c r="A201" s="194">
        <v>200</v>
      </c>
      <c r="B201" s="160" t="s">
        <v>188</v>
      </c>
      <c r="C201" s="161" t="s">
        <v>189</v>
      </c>
      <c r="D201" s="161" t="s">
        <v>1051</v>
      </c>
      <c r="E201" s="162" t="s">
        <v>2354</v>
      </c>
      <c r="F201" s="1"/>
    </row>
    <row r="202" spans="1:6" x14ac:dyDescent="0.2">
      <c r="A202" s="194">
        <v>201</v>
      </c>
      <c r="B202" s="160" t="s">
        <v>190</v>
      </c>
      <c r="C202" s="161" t="s">
        <v>1859</v>
      </c>
      <c r="D202" s="161" t="s">
        <v>1051</v>
      </c>
      <c r="E202" s="162" t="s">
        <v>2354</v>
      </c>
      <c r="F202" s="1"/>
    </row>
    <row r="203" spans="1:6" x14ac:dyDescent="0.2">
      <c r="A203" s="194">
        <v>202</v>
      </c>
      <c r="B203" s="160" t="s">
        <v>191</v>
      </c>
      <c r="C203" s="161" t="s">
        <v>1501</v>
      </c>
      <c r="D203" s="161" t="s">
        <v>1050</v>
      </c>
      <c r="E203" s="162" t="s">
        <v>2116</v>
      </c>
      <c r="F203" s="1"/>
    </row>
    <row r="204" spans="1:6" x14ac:dyDescent="0.2">
      <c r="A204" s="194">
        <v>203</v>
      </c>
      <c r="B204" s="160" t="s">
        <v>192</v>
      </c>
      <c r="C204" s="161" t="s">
        <v>1502</v>
      </c>
      <c r="D204" s="161" t="s">
        <v>1050</v>
      </c>
      <c r="E204" s="162" t="s">
        <v>2116</v>
      </c>
      <c r="F204" s="1"/>
    </row>
    <row r="205" spans="1:6" x14ac:dyDescent="0.2">
      <c r="A205" s="194">
        <v>204</v>
      </c>
      <c r="B205" s="160" t="s">
        <v>193</v>
      </c>
      <c r="C205" s="161" t="s">
        <v>194</v>
      </c>
      <c r="D205" s="161" t="s">
        <v>1050</v>
      </c>
      <c r="E205" s="162" t="s">
        <v>2115</v>
      </c>
      <c r="F205" s="1"/>
    </row>
    <row r="206" spans="1:6" x14ac:dyDescent="0.2">
      <c r="A206" s="194">
        <v>205</v>
      </c>
      <c r="B206" s="160" t="s">
        <v>195</v>
      </c>
      <c r="C206" s="161" t="s">
        <v>1503</v>
      </c>
      <c r="D206" s="161" t="s">
        <v>1050</v>
      </c>
      <c r="E206" s="162" t="s">
        <v>2116</v>
      </c>
      <c r="F206" s="1"/>
    </row>
    <row r="207" spans="1:6" x14ac:dyDescent="0.2">
      <c r="A207" s="194">
        <v>206</v>
      </c>
      <c r="B207" s="160" t="s">
        <v>1860</v>
      </c>
      <c r="C207" s="161" t="s">
        <v>1504</v>
      </c>
      <c r="D207" s="161" t="s">
        <v>1050</v>
      </c>
      <c r="E207" s="162" t="s">
        <v>2116</v>
      </c>
      <c r="F207" s="1"/>
    </row>
    <row r="208" spans="1:6" x14ac:dyDescent="0.2">
      <c r="A208" s="194">
        <v>207</v>
      </c>
      <c r="B208" s="160" t="s">
        <v>2144</v>
      </c>
      <c r="C208" s="162" t="s">
        <v>2145</v>
      </c>
      <c r="D208" s="161" t="s">
        <v>1050</v>
      </c>
      <c r="E208" s="162" t="s">
        <v>2116</v>
      </c>
      <c r="F208" s="1"/>
    </row>
    <row r="209" spans="1:6" x14ac:dyDescent="0.2">
      <c r="A209" s="194">
        <v>208</v>
      </c>
      <c r="B209" s="160" t="s">
        <v>196</v>
      </c>
      <c r="C209" s="161" t="s">
        <v>197</v>
      </c>
      <c r="D209" s="161" t="s">
        <v>1050</v>
      </c>
      <c r="E209" s="162" t="s">
        <v>2354</v>
      </c>
      <c r="F209" s="1"/>
    </row>
    <row r="210" spans="1:6" x14ac:dyDescent="0.2">
      <c r="A210" s="194">
        <v>209</v>
      </c>
      <c r="B210" s="160" t="s">
        <v>1861</v>
      </c>
      <c r="C210" s="161" t="s">
        <v>1862</v>
      </c>
      <c r="D210" s="161" t="s">
        <v>1070</v>
      </c>
      <c r="E210" s="162" t="s">
        <v>2115</v>
      </c>
      <c r="F210" s="1"/>
    </row>
    <row r="211" spans="1:6" x14ac:dyDescent="0.2">
      <c r="A211" s="194">
        <v>210</v>
      </c>
      <c r="B211" s="160" t="s">
        <v>199</v>
      </c>
      <c r="C211" s="161" t="s">
        <v>1863</v>
      </c>
      <c r="D211" s="161" t="s">
        <v>1070</v>
      </c>
      <c r="E211" s="162" t="s">
        <v>2115</v>
      </c>
      <c r="F211" s="1"/>
    </row>
    <row r="212" spans="1:6" x14ac:dyDescent="0.2">
      <c r="A212" s="194">
        <v>211</v>
      </c>
      <c r="B212" s="160" t="s">
        <v>200</v>
      </c>
      <c r="C212" s="161" t="s">
        <v>201</v>
      </c>
      <c r="D212" s="161" t="s">
        <v>1051</v>
      </c>
      <c r="E212" s="162" t="s">
        <v>2115</v>
      </c>
      <c r="F212" s="1"/>
    </row>
    <row r="213" spans="1:6" x14ac:dyDescent="0.2">
      <c r="A213" s="194">
        <v>212</v>
      </c>
      <c r="B213" s="160" t="s">
        <v>1864</v>
      </c>
      <c r="C213" s="161" t="s">
        <v>202</v>
      </c>
      <c r="D213" s="161" t="s">
        <v>1050</v>
      </c>
      <c r="E213" s="162" t="s">
        <v>2354</v>
      </c>
      <c r="F213" s="1"/>
    </row>
    <row r="214" spans="1:6" x14ac:dyDescent="0.2">
      <c r="A214" s="194">
        <v>213</v>
      </c>
      <c r="B214" s="160" t="s">
        <v>203</v>
      </c>
      <c r="C214" s="161" t="s">
        <v>1865</v>
      </c>
      <c r="D214" s="161" t="s">
        <v>1051</v>
      </c>
      <c r="E214" s="162" t="s">
        <v>2115</v>
      </c>
      <c r="F214" s="1"/>
    </row>
    <row r="215" spans="1:6" x14ac:dyDescent="0.2">
      <c r="A215" s="194">
        <v>214</v>
      </c>
      <c r="B215" s="160" t="s">
        <v>204</v>
      </c>
      <c r="C215" s="161" t="s">
        <v>205</v>
      </c>
      <c r="D215" s="161" t="s">
        <v>1051</v>
      </c>
      <c r="E215" s="162" t="s">
        <v>2115</v>
      </c>
      <c r="F215" s="1"/>
    </row>
    <row r="216" spans="1:6" x14ac:dyDescent="0.2">
      <c r="A216" s="194">
        <v>215</v>
      </c>
      <c r="B216" s="160" t="s">
        <v>206</v>
      </c>
      <c r="C216" s="161" t="s">
        <v>207</v>
      </c>
      <c r="D216" s="161" t="s">
        <v>1051</v>
      </c>
      <c r="E216" s="162" t="s">
        <v>2115</v>
      </c>
      <c r="F216" s="1"/>
    </row>
    <row r="217" spans="1:6" x14ac:dyDescent="0.2">
      <c r="A217" s="194">
        <v>216</v>
      </c>
      <c r="B217" s="160" t="s">
        <v>208</v>
      </c>
      <c r="C217" s="161" t="s">
        <v>209</v>
      </c>
      <c r="D217" s="161" t="s">
        <v>1051</v>
      </c>
      <c r="E217" s="162" t="s">
        <v>2115</v>
      </c>
      <c r="F217" s="1"/>
    </row>
    <row r="218" spans="1:6" x14ac:dyDescent="0.2">
      <c r="A218" s="194">
        <v>217</v>
      </c>
      <c r="B218" s="160" t="s">
        <v>210</v>
      </c>
      <c r="C218" s="161" t="s">
        <v>211</v>
      </c>
      <c r="D218" s="161" t="s">
        <v>1051</v>
      </c>
      <c r="E218" s="162" t="s">
        <v>2115</v>
      </c>
      <c r="F218" s="1"/>
    </row>
    <row r="219" spans="1:6" x14ac:dyDescent="0.2">
      <c r="A219" s="194">
        <v>218</v>
      </c>
      <c r="B219" s="160" t="s">
        <v>1866</v>
      </c>
      <c r="C219" s="161" t="s">
        <v>209</v>
      </c>
      <c r="D219" s="161" t="s">
        <v>1051</v>
      </c>
      <c r="E219" s="162" t="s">
        <v>2115</v>
      </c>
      <c r="F219" s="1"/>
    </row>
    <row r="220" spans="1:6" x14ac:dyDescent="0.2">
      <c r="A220" s="194">
        <v>219</v>
      </c>
      <c r="B220" s="160" t="s">
        <v>212</v>
      </c>
      <c r="C220" s="161" t="s">
        <v>1867</v>
      </c>
      <c r="D220" s="161" t="s">
        <v>1051</v>
      </c>
      <c r="E220" s="162" t="s">
        <v>2321</v>
      </c>
      <c r="F220" s="1"/>
    </row>
    <row r="221" spans="1:6" x14ac:dyDescent="0.2">
      <c r="A221" s="194">
        <v>220</v>
      </c>
      <c r="B221" s="160" t="s">
        <v>1868</v>
      </c>
      <c r="C221" s="161" t="s">
        <v>388</v>
      </c>
      <c r="D221" s="161" t="s">
        <v>1070</v>
      </c>
      <c r="E221" s="162" t="s">
        <v>2116</v>
      </c>
      <c r="F221" s="1"/>
    </row>
    <row r="222" spans="1:6" x14ac:dyDescent="0.2">
      <c r="A222" s="194">
        <v>221</v>
      </c>
      <c r="B222" s="160" t="s">
        <v>213</v>
      </c>
      <c r="C222" s="161" t="s">
        <v>214</v>
      </c>
      <c r="D222" s="161" t="s">
        <v>1050</v>
      </c>
      <c r="E222" s="162" t="s">
        <v>2116</v>
      </c>
      <c r="F222" s="1"/>
    </row>
    <row r="223" spans="1:6" x14ac:dyDescent="0.2">
      <c r="A223" s="194">
        <v>222</v>
      </c>
      <c r="B223" s="160" t="s">
        <v>2146</v>
      </c>
      <c r="C223" s="162" t="s">
        <v>2147</v>
      </c>
      <c r="D223" s="161" t="s">
        <v>1050</v>
      </c>
      <c r="E223" s="162" t="s">
        <v>2116</v>
      </c>
      <c r="F223" s="1"/>
    </row>
    <row r="224" spans="1:6" x14ac:dyDescent="0.2">
      <c r="A224" s="194">
        <v>223</v>
      </c>
      <c r="B224" s="160" t="s">
        <v>215</v>
      </c>
      <c r="C224" s="161" t="s">
        <v>216</v>
      </c>
      <c r="D224" s="161" t="s">
        <v>1050</v>
      </c>
      <c r="E224" s="162" t="s">
        <v>2116</v>
      </c>
      <c r="F224" s="1"/>
    </row>
    <row r="225" spans="1:6" x14ac:dyDescent="0.2">
      <c r="A225" s="194">
        <v>224</v>
      </c>
      <c r="B225" s="160" t="s">
        <v>217</v>
      </c>
      <c r="C225" s="161" t="s">
        <v>214</v>
      </c>
      <c r="D225" s="161" t="s">
        <v>1050</v>
      </c>
      <c r="E225" s="162" t="s">
        <v>2116</v>
      </c>
      <c r="F225" s="1"/>
    </row>
    <row r="226" spans="1:6" x14ac:dyDescent="0.2">
      <c r="A226" s="194">
        <v>225</v>
      </c>
      <c r="B226" s="160" t="s">
        <v>218</v>
      </c>
      <c r="C226" s="161" t="s">
        <v>219</v>
      </c>
      <c r="D226" s="161" t="s">
        <v>1050</v>
      </c>
      <c r="E226" s="162" t="s">
        <v>2116</v>
      </c>
      <c r="F226" s="1"/>
    </row>
    <row r="227" spans="1:6" x14ac:dyDescent="0.2">
      <c r="A227" s="194">
        <v>226</v>
      </c>
      <c r="B227" s="160" t="s">
        <v>220</v>
      </c>
      <c r="C227" s="161" t="s">
        <v>214</v>
      </c>
      <c r="D227" s="161" t="s">
        <v>1050</v>
      </c>
      <c r="E227" s="162" t="s">
        <v>2116</v>
      </c>
      <c r="F227" s="1"/>
    </row>
    <row r="228" spans="1:6" x14ac:dyDescent="0.2">
      <c r="A228" s="194">
        <v>227</v>
      </c>
      <c r="B228" s="160" t="s">
        <v>1869</v>
      </c>
      <c r="C228" s="161" t="s">
        <v>1594</v>
      </c>
      <c r="D228" s="161" t="s">
        <v>1070</v>
      </c>
      <c r="E228" s="162" t="s">
        <v>2115</v>
      </c>
      <c r="F228" s="1"/>
    </row>
    <row r="229" spans="1:6" x14ac:dyDescent="0.2">
      <c r="A229" s="194">
        <v>228</v>
      </c>
      <c r="B229" s="160" t="s">
        <v>917</v>
      </c>
      <c r="C229" s="161" t="s">
        <v>1505</v>
      </c>
      <c r="D229" s="161" t="s">
        <v>1050</v>
      </c>
      <c r="E229" s="162" t="s">
        <v>696</v>
      </c>
      <c r="F229" s="1"/>
    </row>
    <row r="230" spans="1:6" x14ac:dyDescent="0.2">
      <c r="A230" s="194">
        <v>229</v>
      </c>
      <c r="B230" s="160" t="s">
        <v>221</v>
      </c>
      <c r="C230" s="161" t="s">
        <v>222</v>
      </c>
      <c r="D230" s="161" t="s">
        <v>1051</v>
      </c>
      <c r="E230" s="162" t="s">
        <v>2115</v>
      </c>
      <c r="F230" s="1"/>
    </row>
    <row r="231" spans="1:6" x14ac:dyDescent="0.2">
      <c r="A231" s="194">
        <v>230</v>
      </c>
      <c r="B231" s="160" t="s">
        <v>223</v>
      </c>
      <c r="C231" s="161" t="s">
        <v>222</v>
      </c>
      <c r="D231" s="161" t="s">
        <v>1051</v>
      </c>
      <c r="E231" s="162" t="s">
        <v>2115</v>
      </c>
      <c r="F231" s="1"/>
    </row>
    <row r="232" spans="1:6" x14ac:dyDescent="0.2">
      <c r="A232" s="194">
        <v>231</v>
      </c>
      <c r="B232" s="160" t="s">
        <v>224</v>
      </c>
      <c r="C232" s="161" t="s">
        <v>225</v>
      </c>
      <c r="D232" s="161" t="s">
        <v>1051</v>
      </c>
      <c r="E232" s="162" t="s">
        <v>2115</v>
      </c>
      <c r="F232" s="1"/>
    </row>
    <row r="233" spans="1:6" x14ac:dyDescent="0.2">
      <c r="A233" s="194">
        <v>232</v>
      </c>
      <c r="B233" s="160" t="s">
        <v>226</v>
      </c>
      <c r="C233" s="161" t="s">
        <v>225</v>
      </c>
      <c r="D233" s="161" t="s">
        <v>1051</v>
      </c>
      <c r="E233" s="162" t="s">
        <v>2115</v>
      </c>
      <c r="F233" s="1"/>
    </row>
    <row r="234" spans="1:6" x14ac:dyDescent="0.2">
      <c r="A234" s="194">
        <v>233</v>
      </c>
      <c r="B234" s="160" t="s">
        <v>227</v>
      </c>
      <c r="C234" s="161" t="s">
        <v>225</v>
      </c>
      <c r="D234" s="161" t="s">
        <v>1051</v>
      </c>
      <c r="E234" s="162" t="s">
        <v>2115</v>
      </c>
      <c r="F234" s="1"/>
    </row>
    <row r="235" spans="1:6" x14ac:dyDescent="0.2">
      <c r="A235" s="194">
        <v>234</v>
      </c>
      <c r="B235" s="160" t="s">
        <v>228</v>
      </c>
      <c r="C235" s="161" t="s">
        <v>229</v>
      </c>
      <c r="D235" s="161" t="s">
        <v>1051</v>
      </c>
      <c r="E235" s="162" t="s">
        <v>2354</v>
      </c>
      <c r="F235" s="1"/>
    </row>
    <row r="236" spans="1:6" x14ac:dyDescent="0.2">
      <c r="A236" s="194">
        <v>235</v>
      </c>
      <c r="B236" s="160" t="s">
        <v>230</v>
      </c>
      <c r="C236" s="161" t="s">
        <v>1870</v>
      </c>
      <c r="D236" s="161" t="s">
        <v>1070</v>
      </c>
      <c r="E236" s="162" t="s">
        <v>2123</v>
      </c>
      <c r="F236" s="1"/>
    </row>
    <row r="237" spans="1:6" x14ac:dyDescent="0.2">
      <c r="A237" s="194">
        <v>236</v>
      </c>
      <c r="B237" s="160" t="s">
        <v>231</v>
      </c>
      <c r="C237" s="161" t="s">
        <v>1871</v>
      </c>
      <c r="D237" s="161" t="s">
        <v>1070</v>
      </c>
      <c r="E237" s="162" t="s">
        <v>2123</v>
      </c>
      <c r="F237" s="1"/>
    </row>
    <row r="238" spans="1:6" x14ac:dyDescent="0.2">
      <c r="A238" s="194">
        <v>237</v>
      </c>
      <c r="B238" s="160" t="s">
        <v>232</v>
      </c>
      <c r="C238" s="161" t="s">
        <v>233</v>
      </c>
      <c r="D238" s="161" t="s">
        <v>1050</v>
      </c>
      <c r="E238" s="162" t="s">
        <v>2115</v>
      </c>
      <c r="F238" s="1"/>
    </row>
    <row r="239" spans="1:6" x14ac:dyDescent="0.2">
      <c r="A239" s="194">
        <v>238</v>
      </c>
      <c r="B239" s="160" t="s">
        <v>234</v>
      </c>
      <c r="C239" s="161" t="s">
        <v>1872</v>
      </c>
      <c r="D239" s="161" t="s">
        <v>1070</v>
      </c>
      <c r="E239" s="162" t="s">
        <v>2116</v>
      </c>
      <c r="F239" s="1"/>
    </row>
    <row r="240" spans="1:6" x14ac:dyDescent="0.2">
      <c r="A240" s="194">
        <v>239</v>
      </c>
      <c r="B240" s="160" t="s">
        <v>235</v>
      </c>
      <c r="C240" s="161" t="s">
        <v>236</v>
      </c>
      <c r="D240" s="161" t="s">
        <v>1070</v>
      </c>
      <c r="E240" s="162" t="s">
        <v>2116</v>
      </c>
      <c r="F240" s="1"/>
    </row>
    <row r="241" spans="1:6" x14ac:dyDescent="0.2">
      <c r="A241" s="194">
        <v>240</v>
      </c>
      <c r="B241" s="160" t="s">
        <v>237</v>
      </c>
      <c r="C241" s="161" t="s">
        <v>2277</v>
      </c>
      <c r="D241" s="161" t="s">
        <v>1050</v>
      </c>
      <c r="E241" s="162" t="s">
        <v>2115</v>
      </c>
      <c r="F241" s="1"/>
    </row>
    <row r="242" spans="1:6" x14ac:dyDescent="0.2">
      <c r="A242" s="194">
        <v>241</v>
      </c>
      <c r="B242" s="160" t="s">
        <v>239</v>
      </c>
      <c r="C242" s="161" t="s">
        <v>238</v>
      </c>
      <c r="D242" s="161" t="s">
        <v>1070</v>
      </c>
      <c r="E242" s="162" t="s">
        <v>2115</v>
      </c>
      <c r="F242" s="1"/>
    </row>
    <row r="243" spans="1:6" x14ac:dyDescent="0.2">
      <c r="A243" s="194">
        <v>242</v>
      </c>
      <c r="B243" s="160" t="s">
        <v>240</v>
      </c>
      <c r="C243" s="161" t="s">
        <v>241</v>
      </c>
      <c r="D243" s="161" t="s">
        <v>1050</v>
      </c>
      <c r="E243" s="162" t="s">
        <v>696</v>
      </c>
      <c r="F243" s="1"/>
    </row>
    <row r="244" spans="1:6" x14ac:dyDescent="0.2">
      <c r="A244" s="194">
        <v>243</v>
      </c>
      <c r="B244" s="160" t="s">
        <v>242</v>
      </c>
      <c r="C244" s="161" t="s">
        <v>1873</v>
      </c>
      <c r="D244" s="161" t="s">
        <v>1050</v>
      </c>
      <c r="E244" s="162" t="s">
        <v>696</v>
      </c>
      <c r="F244" s="1"/>
    </row>
    <row r="245" spans="1:6" x14ac:dyDescent="0.2">
      <c r="A245" s="194">
        <v>244</v>
      </c>
      <c r="B245" s="160" t="s">
        <v>243</v>
      </c>
      <c r="C245" s="161" t="s">
        <v>244</v>
      </c>
      <c r="D245" s="161" t="s">
        <v>1051</v>
      </c>
      <c r="E245" s="162" t="s">
        <v>2115</v>
      </c>
      <c r="F245" s="1"/>
    </row>
    <row r="246" spans="1:6" x14ac:dyDescent="0.2">
      <c r="A246" s="194">
        <v>245</v>
      </c>
      <c r="B246" s="160" t="s">
        <v>2360</v>
      </c>
      <c r="C246" s="161" t="s">
        <v>2361</v>
      </c>
      <c r="D246" s="161" t="s">
        <v>1050</v>
      </c>
      <c r="E246" s="164" t="s">
        <v>2115</v>
      </c>
      <c r="F246" s="1"/>
    </row>
    <row r="247" spans="1:6" x14ac:dyDescent="0.2">
      <c r="A247" s="194">
        <v>246</v>
      </c>
      <c r="B247" s="160" t="s">
        <v>245</v>
      </c>
      <c r="C247" s="161" t="s">
        <v>246</v>
      </c>
      <c r="D247" s="161" t="s">
        <v>1051</v>
      </c>
      <c r="E247" s="162" t="s">
        <v>2123</v>
      </c>
      <c r="F247" s="1"/>
    </row>
    <row r="248" spans="1:6" x14ac:dyDescent="0.2">
      <c r="A248" s="194">
        <v>247</v>
      </c>
      <c r="B248" s="160" t="s">
        <v>2252</v>
      </c>
      <c r="C248" s="161" t="s">
        <v>2253</v>
      </c>
      <c r="D248" s="161" t="s">
        <v>1050</v>
      </c>
      <c r="E248" s="162" t="s">
        <v>2354</v>
      </c>
      <c r="F248" s="1"/>
    </row>
    <row r="249" spans="1:6" x14ac:dyDescent="0.2">
      <c r="A249" s="194">
        <v>248</v>
      </c>
      <c r="B249" s="160" t="s">
        <v>247</v>
      </c>
      <c r="C249" s="161" t="s">
        <v>248</v>
      </c>
      <c r="D249" s="161" t="s">
        <v>1050</v>
      </c>
      <c r="E249" s="162" t="s">
        <v>2116</v>
      </c>
      <c r="F249" s="1"/>
    </row>
    <row r="250" spans="1:6" x14ac:dyDescent="0.2">
      <c r="A250" s="194">
        <v>249</v>
      </c>
      <c r="B250" s="160" t="s">
        <v>249</v>
      </c>
      <c r="C250" s="161" t="s">
        <v>250</v>
      </c>
      <c r="D250" s="161" t="s">
        <v>1050</v>
      </c>
      <c r="E250" s="162" t="s">
        <v>2116</v>
      </c>
      <c r="F250" s="1"/>
    </row>
    <row r="251" spans="1:6" x14ac:dyDescent="0.2">
      <c r="A251" s="194">
        <v>250</v>
      </c>
      <c r="B251" s="160" t="s">
        <v>251</v>
      </c>
      <c r="C251" s="161" t="s">
        <v>252</v>
      </c>
      <c r="D251" s="161" t="s">
        <v>1050</v>
      </c>
      <c r="E251" s="162" t="s">
        <v>2116</v>
      </c>
      <c r="F251" s="1"/>
    </row>
    <row r="252" spans="1:6" x14ac:dyDescent="0.2">
      <c r="A252" s="194">
        <v>251</v>
      </c>
      <c r="B252" s="160" t="s">
        <v>253</v>
      </c>
      <c r="C252" s="161" t="s">
        <v>1506</v>
      </c>
      <c r="D252" s="161" t="s">
        <v>1051</v>
      </c>
      <c r="E252" s="162" t="s">
        <v>2115</v>
      </c>
      <c r="F252" s="1"/>
    </row>
    <row r="253" spans="1:6" x14ac:dyDescent="0.2">
      <c r="A253" s="194">
        <v>252</v>
      </c>
      <c r="B253" s="160" t="s">
        <v>254</v>
      </c>
      <c r="C253" s="161" t="s">
        <v>255</v>
      </c>
      <c r="D253" s="161" t="s">
        <v>1070</v>
      </c>
      <c r="E253" s="162" t="s">
        <v>2115</v>
      </c>
      <c r="F253" s="1"/>
    </row>
    <row r="254" spans="1:6" x14ac:dyDescent="0.2">
      <c r="A254" s="194">
        <v>253</v>
      </c>
      <c r="B254" s="160" t="s">
        <v>256</v>
      </c>
      <c r="C254" s="161" t="s">
        <v>257</v>
      </c>
      <c r="D254" s="161" t="s">
        <v>1051</v>
      </c>
      <c r="E254" s="162" t="s">
        <v>2115</v>
      </c>
      <c r="F254" s="1"/>
    </row>
    <row r="255" spans="1:6" x14ac:dyDescent="0.2">
      <c r="A255" s="194">
        <v>254</v>
      </c>
      <c r="B255" s="160" t="s">
        <v>258</v>
      </c>
      <c r="C255" s="161" t="s">
        <v>259</v>
      </c>
      <c r="D255" s="161" t="s">
        <v>1051</v>
      </c>
      <c r="E255" s="162" t="s">
        <v>2116</v>
      </c>
      <c r="F255" s="1"/>
    </row>
    <row r="256" spans="1:6" x14ac:dyDescent="0.2">
      <c r="A256" s="194">
        <v>255</v>
      </c>
      <c r="B256" s="160" t="s">
        <v>260</v>
      </c>
      <c r="C256" s="161" t="s">
        <v>1874</v>
      </c>
      <c r="D256" s="161" t="s">
        <v>1050</v>
      </c>
      <c r="E256" s="162" t="s">
        <v>2115</v>
      </c>
      <c r="F256" s="1"/>
    </row>
    <row r="257" spans="1:6" x14ac:dyDescent="0.2">
      <c r="A257" s="194">
        <v>256</v>
      </c>
      <c r="B257" s="160" t="s">
        <v>261</v>
      </c>
      <c r="C257" s="161" t="s">
        <v>1875</v>
      </c>
      <c r="D257" s="161" t="s">
        <v>1050</v>
      </c>
      <c r="E257" s="162" t="s">
        <v>2115</v>
      </c>
      <c r="F257" s="1"/>
    </row>
    <row r="258" spans="1:6" x14ac:dyDescent="0.2">
      <c r="A258" s="194">
        <v>257</v>
      </c>
      <c r="B258" s="160" t="s">
        <v>2148</v>
      </c>
      <c r="C258" s="161" t="s">
        <v>2149</v>
      </c>
      <c r="D258" s="161" t="s">
        <v>1050</v>
      </c>
      <c r="E258" s="162" t="s">
        <v>2115</v>
      </c>
      <c r="F258" s="1"/>
    </row>
    <row r="259" spans="1:6" x14ac:dyDescent="0.2">
      <c r="A259" s="194">
        <v>258</v>
      </c>
      <c r="B259" s="160" t="s">
        <v>262</v>
      </c>
      <c r="C259" s="161" t="s">
        <v>1876</v>
      </c>
      <c r="D259" s="161" t="s">
        <v>1050</v>
      </c>
      <c r="E259" s="162" t="s">
        <v>2115</v>
      </c>
      <c r="F259" s="1"/>
    </row>
    <row r="260" spans="1:6" x14ac:dyDescent="0.2">
      <c r="A260" s="194">
        <v>259</v>
      </c>
      <c r="B260" s="160" t="s">
        <v>264</v>
      </c>
      <c r="C260" s="161" t="s">
        <v>263</v>
      </c>
      <c r="D260" s="161" t="s">
        <v>1050</v>
      </c>
      <c r="E260" s="162" t="s">
        <v>2115</v>
      </c>
      <c r="F260" s="1"/>
    </row>
    <row r="261" spans="1:6" x14ac:dyDescent="0.2">
      <c r="A261" s="194">
        <v>260</v>
      </c>
      <c r="B261" s="160" t="s">
        <v>2150</v>
      </c>
      <c r="C261" s="162" t="s">
        <v>263</v>
      </c>
      <c r="D261" s="161" t="s">
        <v>1050</v>
      </c>
      <c r="E261" s="162" t="s">
        <v>2115</v>
      </c>
      <c r="F261" s="1"/>
    </row>
    <row r="262" spans="1:6" x14ac:dyDescent="0.2">
      <c r="A262" s="194">
        <v>261</v>
      </c>
      <c r="B262" s="160" t="s">
        <v>265</v>
      </c>
      <c r="C262" s="161" t="s">
        <v>266</v>
      </c>
      <c r="D262" s="161" t="s">
        <v>1051</v>
      </c>
      <c r="E262" s="162" t="s">
        <v>2116</v>
      </c>
      <c r="F262" s="1"/>
    </row>
    <row r="263" spans="1:6" x14ac:dyDescent="0.2">
      <c r="A263" s="194">
        <v>262</v>
      </c>
      <c r="B263" s="160" t="s">
        <v>267</v>
      </c>
      <c r="C263" s="161" t="s">
        <v>268</v>
      </c>
      <c r="D263" s="161" t="s">
        <v>1070</v>
      </c>
      <c r="E263" s="162" t="s">
        <v>2116</v>
      </c>
      <c r="F263" s="1"/>
    </row>
    <row r="264" spans="1:6" x14ac:dyDescent="0.2">
      <c r="A264" s="194">
        <v>263</v>
      </c>
      <c r="B264" s="160" t="s">
        <v>269</v>
      </c>
      <c r="C264" s="161" t="s">
        <v>270</v>
      </c>
      <c r="D264" s="161" t="s">
        <v>1051</v>
      </c>
      <c r="E264" s="162" t="s">
        <v>2115</v>
      </c>
      <c r="F264" s="1"/>
    </row>
    <row r="265" spans="1:6" x14ac:dyDescent="0.2">
      <c r="A265" s="194">
        <v>264</v>
      </c>
      <c r="B265" s="160" t="s">
        <v>1877</v>
      </c>
      <c r="C265" s="161" t="s">
        <v>1872</v>
      </c>
      <c r="D265" s="161" t="s">
        <v>1070</v>
      </c>
      <c r="E265" s="162" t="s">
        <v>2116</v>
      </c>
      <c r="F265" s="1"/>
    </row>
    <row r="266" spans="1:6" x14ac:dyDescent="0.2">
      <c r="A266" s="194">
        <v>265</v>
      </c>
      <c r="B266" s="160" t="s">
        <v>1878</v>
      </c>
      <c r="C266" s="161" t="s">
        <v>236</v>
      </c>
      <c r="D266" s="161" t="s">
        <v>1070</v>
      </c>
      <c r="E266" s="162" t="s">
        <v>2116</v>
      </c>
      <c r="F266" s="1"/>
    </row>
    <row r="267" spans="1:6" x14ac:dyDescent="0.2">
      <c r="A267" s="194">
        <v>266</v>
      </c>
      <c r="B267" s="160" t="s">
        <v>271</v>
      </c>
      <c r="C267" s="161" t="s">
        <v>1507</v>
      </c>
      <c r="D267" s="161" t="s">
        <v>1070</v>
      </c>
      <c r="E267" s="162" t="s">
        <v>2115</v>
      </c>
      <c r="F267" s="1"/>
    </row>
    <row r="268" spans="1:6" x14ac:dyDescent="0.2">
      <c r="A268" s="194">
        <v>267</v>
      </c>
      <c r="B268" s="160" t="s">
        <v>272</v>
      </c>
      <c r="C268" s="161" t="s">
        <v>273</v>
      </c>
      <c r="D268" s="161" t="s">
        <v>1051</v>
      </c>
      <c r="E268" s="162" t="s">
        <v>2116</v>
      </c>
      <c r="F268" s="1"/>
    </row>
    <row r="269" spans="1:6" x14ac:dyDescent="0.2">
      <c r="A269" s="194">
        <v>268</v>
      </c>
      <c r="B269" s="160" t="s">
        <v>274</v>
      </c>
      <c r="C269" s="161" t="s">
        <v>1508</v>
      </c>
      <c r="D269" s="161" t="s">
        <v>1050</v>
      </c>
      <c r="E269" s="162" t="s">
        <v>2116</v>
      </c>
      <c r="F269" s="1"/>
    </row>
    <row r="270" spans="1:6" x14ac:dyDescent="0.2">
      <c r="A270" s="194">
        <v>269</v>
      </c>
      <c r="B270" s="160" t="s">
        <v>1879</v>
      </c>
      <c r="C270" s="161" t="s">
        <v>275</v>
      </c>
      <c r="D270" s="161" t="s">
        <v>1070</v>
      </c>
      <c r="E270" s="162" t="s">
        <v>2115</v>
      </c>
      <c r="F270" s="1"/>
    </row>
    <row r="271" spans="1:6" x14ac:dyDescent="0.2">
      <c r="A271" s="194">
        <v>270</v>
      </c>
      <c r="B271" s="160" t="s">
        <v>276</v>
      </c>
      <c r="C271" s="161" t="s">
        <v>1509</v>
      </c>
      <c r="D271" s="161" t="s">
        <v>1050</v>
      </c>
      <c r="E271" s="162" t="s">
        <v>2116</v>
      </c>
      <c r="F271" s="1"/>
    </row>
    <row r="272" spans="1:6" x14ac:dyDescent="0.2">
      <c r="A272" s="194">
        <v>271</v>
      </c>
      <c r="B272" s="160" t="s">
        <v>277</v>
      </c>
      <c r="C272" s="161" t="s">
        <v>1510</v>
      </c>
      <c r="D272" s="161" t="s">
        <v>1050</v>
      </c>
      <c r="E272" s="162" t="s">
        <v>2116</v>
      </c>
      <c r="F272" s="1"/>
    </row>
    <row r="273" spans="1:6" x14ac:dyDescent="0.2">
      <c r="A273" s="194">
        <v>272</v>
      </c>
      <c r="B273" s="160" t="s">
        <v>278</v>
      </c>
      <c r="C273" s="161" t="s">
        <v>1511</v>
      </c>
      <c r="D273" s="161" t="s">
        <v>1050</v>
      </c>
      <c r="E273" s="162" t="s">
        <v>2116</v>
      </c>
      <c r="F273" s="1"/>
    </row>
    <row r="274" spans="1:6" x14ac:dyDescent="0.2">
      <c r="A274" s="194">
        <v>273</v>
      </c>
      <c r="B274" s="160" t="s">
        <v>279</v>
      </c>
      <c r="C274" s="161" t="s">
        <v>1880</v>
      </c>
      <c r="D274" s="161" t="s">
        <v>1050</v>
      </c>
      <c r="E274" s="162" t="s">
        <v>2116</v>
      </c>
      <c r="F274" s="1"/>
    </row>
    <row r="275" spans="1:6" x14ac:dyDescent="0.2">
      <c r="A275" s="194">
        <v>274</v>
      </c>
      <c r="B275" s="160" t="s">
        <v>280</v>
      </c>
      <c r="C275" s="161" t="s">
        <v>1512</v>
      </c>
      <c r="D275" s="161" t="s">
        <v>1050</v>
      </c>
      <c r="E275" s="162" t="s">
        <v>2116</v>
      </c>
      <c r="F275" s="1"/>
    </row>
    <row r="276" spans="1:6" x14ac:dyDescent="0.2">
      <c r="A276" s="194">
        <v>275</v>
      </c>
      <c r="B276" s="160" t="s">
        <v>281</v>
      </c>
      <c r="C276" s="161" t="s">
        <v>1513</v>
      </c>
      <c r="D276" s="161" t="s">
        <v>1050</v>
      </c>
      <c r="E276" s="162" t="s">
        <v>2116</v>
      </c>
      <c r="F276" s="1"/>
    </row>
    <row r="277" spans="1:6" x14ac:dyDescent="0.2">
      <c r="A277" s="194">
        <v>276</v>
      </c>
      <c r="B277" s="160" t="s">
        <v>1514</v>
      </c>
      <c r="C277" s="161" t="s">
        <v>1515</v>
      </c>
      <c r="D277" s="161" t="s">
        <v>1050</v>
      </c>
      <c r="E277" s="162" t="s">
        <v>2354</v>
      </c>
      <c r="F277" s="1"/>
    </row>
    <row r="278" spans="1:6" x14ac:dyDescent="0.2">
      <c r="A278" s="194">
        <v>277</v>
      </c>
      <c r="B278" s="160" t="s">
        <v>282</v>
      </c>
      <c r="C278" s="161" t="s">
        <v>283</v>
      </c>
      <c r="D278" s="161" t="s">
        <v>1050</v>
      </c>
      <c r="E278" s="162" t="s">
        <v>2116</v>
      </c>
      <c r="F278" s="1"/>
    </row>
    <row r="279" spans="1:6" x14ac:dyDescent="0.2">
      <c r="A279" s="194">
        <v>278</v>
      </c>
      <c r="B279" s="160" t="s">
        <v>1881</v>
      </c>
      <c r="C279" s="161" t="s">
        <v>1882</v>
      </c>
      <c r="D279" s="161" t="s">
        <v>1050</v>
      </c>
      <c r="E279" s="162" t="s">
        <v>2116</v>
      </c>
      <c r="F279" s="1"/>
    </row>
    <row r="280" spans="1:6" x14ac:dyDescent="0.2">
      <c r="A280" s="194">
        <v>279</v>
      </c>
      <c r="B280" s="160" t="s">
        <v>284</v>
      </c>
      <c r="C280" s="161" t="s">
        <v>285</v>
      </c>
      <c r="D280" s="161" t="s">
        <v>1050</v>
      </c>
      <c r="E280" s="162" t="s">
        <v>2115</v>
      </c>
      <c r="F280" s="1"/>
    </row>
    <row r="281" spans="1:6" x14ac:dyDescent="0.2">
      <c r="A281" s="194">
        <v>280</v>
      </c>
      <c r="B281" s="160" t="s">
        <v>286</v>
      </c>
      <c r="C281" s="161" t="s">
        <v>287</v>
      </c>
      <c r="D281" s="161" t="s">
        <v>1070</v>
      </c>
      <c r="E281" s="162" t="s">
        <v>2115</v>
      </c>
      <c r="F281" s="1"/>
    </row>
    <row r="282" spans="1:6" x14ac:dyDescent="0.2">
      <c r="A282" s="194">
        <v>281</v>
      </c>
      <c r="B282" s="160" t="s">
        <v>288</v>
      </c>
      <c r="C282" s="161" t="s">
        <v>289</v>
      </c>
      <c r="D282" s="161" t="s">
        <v>1051</v>
      </c>
      <c r="E282" s="162" t="s">
        <v>2116</v>
      </c>
      <c r="F282" s="1"/>
    </row>
    <row r="283" spans="1:6" x14ac:dyDescent="0.2">
      <c r="A283" s="194">
        <v>282</v>
      </c>
      <c r="B283" s="160" t="s">
        <v>2312</v>
      </c>
      <c r="C283" s="161" t="s">
        <v>1883</v>
      </c>
      <c r="D283" s="161" t="s">
        <v>1070</v>
      </c>
      <c r="E283" s="162" t="s">
        <v>2116</v>
      </c>
      <c r="F283" s="1"/>
    </row>
    <row r="284" spans="1:6" x14ac:dyDescent="0.2">
      <c r="A284" s="194">
        <v>283</v>
      </c>
      <c r="B284" s="160" t="s">
        <v>290</v>
      </c>
      <c r="C284" s="161" t="s">
        <v>291</v>
      </c>
      <c r="D284" s="161" t="s">
        <v>1050</v>
      </c>
      <c r="E284" s="162" t="s">
        <v>2116</v>
      </c>
      <c r="F284" s="1"/>
    </row>
    <row r="285" spans="1:6" x14ac:dyDescent="0.2">
      <c r="A285" s="194">
        <v>284</v>
      </c>
      <c r="B285" s="160" t="s">
        <v>292</v>
      </c>
      <c r="C285" s="161" t="s">
        <v>292</v>
      </c>
      <c r="D285" s="161" t="s">
        <v>1070</v>
      </c>
      <c r="E285" s="162" t="s">
        <v>2115</v>
      </c>
      <c r="F285" s="1"/>
    </row>
    <row r="286" spans="1:6" x14ac:dyDescent="0.2">
      <c r="A286" s="194">
        <v>285</v>
      </c>
      <c r="B286" s="160" t="s">
        <v>293</v>
      </c>
      <c r="C286" s="161" t="s">
        <v>1081</v>
      </c>
      <c r="D286" s="161" t="s">
        <v>1070</v>
      </c>
      <c r="E286" s="162" t="s">
        <v>2115</v>
      </c>
      <c r="F286" s="1"/>
    </row>
    <row r="287" spans="1:6" x14ac:dyDescent="0.2">
      <c r="A287" s="194">
        <v>286</v>
      </c>
      <c r="B287" s="160" t="s">
        <v>294</v>
      </c>
      <c r="C287" s="161" t="s">
        <v>1082</v>
      </c>
      <c r="D287" s="161" t="s">
        <v>1070</v>
      </c>
      <c r="E287" s="162" t="s">
        <v>2115</v>
      </c>
      <c r="F287" s="1"/>
    </row>
    <row r="288" spans="1:6" x14ac:dyDescent="0.2">
      <c r="A288" s="194">
        <v>287</v>
      </c>
      <c r="B288" s="160" t="s">
        <v>295</v>
      </c>
      <c r="C288" s="161" t="s">
        <v>1082</v>
      </c>
      <c r="D288" s="161" t="s">
        <v>1070</v>
      </c>
      <c r="E288" s="162" t="s">
        <v>2115</v>
      </c>
      <c r="F288" s="1"/>
    </row>
    <row r="289" spans="1:6" x14ac:dyDescent="0.2">
      <c r="A289" s="194">
        <v>288</v>
      </c>
      <c r="B289" s="160" t="s">
        <v>2313</v>
      </c>
      <c r="C289" s="161" t="s">
        <v>1081</v>
      </c>
      <c r="D289" s="161" t="s">
        <v>1070</v>
      </c>
      <c r="E289" s="162" t="s">
        <v>2115</v>
      </c>
      <c r="F289" s="1"/>
    </row>
    <row r="290" spans="1:6" x14ac:dyDescent="0.2">
      <c r="A290" s="194">
        <v>289</v>
      </c>
      <c r="B290" s="160" t="s">
        <v>296</v>
      </c>
      <c r="C290" s="161" t="s">
        <v>1082</v>
      </c>
      <c r="D290" s="161" t="s">
        <v>1070</v>
      </c>
      <c r="E290" s="162" t="s">
        <v>2115</v>
      </c>
      <c r="F290" s="1"/>
    </row>
    <row r="291" spans="1:6" x14ac:dyDescent="0.2">
      <c r="A291" s="194">
        <v>290</v>
      </c>
      <c r="B291" s="160" t="s">
        <v>297</v>
      </c>
      <c r="C291" s="161" t="s">
        <v>1081</v>
      </c>
      <c r="D291" s="161" t="s">
        <v>1070</v>
      </c>
      <c r="E291" s="162" t="s">
        <v>2115</v>
      </c>
      <c r="F291" s="1"/>
    </row>
    <row r="292" spans="1:6" x14ac:dyDescent="0.2">
      <c r="A292" s="194">
        <v>291</v>
      </c>
      <c r="B292" s="160" t="s">
        <v>298</v>
      </c>
      <c r="C292" s="161" t="s">
        <v>1884</v>
      </c>
      <c r="D292" s="161" t="s">
        <v>1070</v>
      </c>
      <c r="E292" s="162" t="s">
        <v>743</v>
      </c>
      <c r="F292" s="1"/>
    </row>
    <row r="293" spans="1:6" x14ac:dyDescent="0.2">
      <c r="A293" s="194">
        <v>292</v>
      </c>
      <c r="B293" s="160" t="s">
        <v>299</v>
      </c>
      <c r="C293" s="161" t="s">
        <v>300</v>
      </c>
      <c r="D293" s="161" t="s">
        <v>1051</v>
      </c>
      <c r="E293" s="162" t="s">
        <v>2115</v>
      </c>
      <c r="F293" s="1"/>
    </row>
    <row r="294" spans="1:6" x14ac:dyDescent="0.2">
      <c r="A294" s="194">
        <v>293</v>
      </c>
      <c r="B294" s="160" t="s">
        <v>301</v>
      </c>
      <c r="C294" s="161" t="s">
        <v>1516</v>
      </c>
      <c r="D294" s="161" t="s">
        <v>1070</v>
      </c>
      <c r="E294" s="162" t="s">
        <v>2123</v>
      </c>
      <c r="F294" s="1"/>
    </row>
    <row r="295" spans="1:6" x14ac:dyDescent="0.2">
      <c r="A295" s="194">
        <v>294</v>
      </c>
      <c r="B295" s="160" t="s">
        <v>302</v>
      </c>
      <c r="C295" s="161" t="s">
        <v>1885</v>
      </c>
      <c r="D295" s="161" t="s">
        <v>1070</v>
      </c>
      <c r="E295" s="162" t="s">
        <v>743</v>
      </c>
      <c r="F295" s="1"/>
    </row>
    <row r="296" spans="1:6" x14ac:dyDescent="0.2">
      <c r="A296" s="194">
        <v>295</v>
      </c>
      <c r="B296" s="163" t="s">
        <v>2278</v>
      </c>
      <c r="C296" s="164" t="s">
        <v>2279</v>
      </c>
      <c r="D296" s="164" t="s">
        <v>1050</v>
      </c>
      <c r="E296" s="162" t="s">
        <v>2354</v>
      </c>
      <c r="F296" s="1"/>
    </row>
    <row r="297" spans="1:6" x14ac:dyDescent="0.2">
      <c r="A297" s="194">
        <v>296</v>
      </c>
      <c r="B297" s="160" t="s">
        <v>2237</v>
      </c>
      <c r="C297" s="161" t="s">
        <v>1480</v>
      </c>
      <c r="D297" s="161" t="s">
        <v>1070</v>
      </c>
      <c r="E297" s="162" t="s">
        <v>2115</v>
      </c>
      <c r="F297" s="1"/>
    </row>
    <row r="298" spans="1:6" x14ac:dyDescent="0.2">
      <c r="A298" s="194">
        <v>297</v>
      </c>
      <c r="B298" s="160" t="s">
        <v>303</v>
      </c>
      <c r="C298" s="161" t="s">
        <v>1886</v>
      </c>
      <c r="D298" s="161" t="s">
        <v>1051</v>
      </c>
      <c r="E298" s="162" t="s">
        <v>2116</v>
      </c>
      <c r="F298" s="1"/>
    </row>
    <row r="299" spans="1:6" x14ac:dyDescent="0.2">
      <c r="A299" s="194">
        <v>298</v>
      </c>
      <c r="B299" s="160" t="s">
        <v>304</v>
      </c>
      <c r="C299" s="161" t="s">
        <v>1887</v>
      </c>
      <c r="D299" s="161" t="s">
        <v>1051</v>
      </c>
      <c r="E299" s="162" t="s">
        <v>2116</v>
      </c>
      <c r="F299" s="1"/>
    </row>
    <row r="300" spans="1:6" x14ac:dyDescent="0.2">
      <c r="A300" s="194">
        <v>299</v>
      </c>
      <c r="B300" s="160" t="s">
        <v>2254</v>
      </c>
      <c r="C300" s="161" t="s">
        <v>1887</v>
      </c>
      <c r="D300" s="161" t="s">
        <v>1051</v>
      </c>
      <c r="E300" s="162" t="s">
        <v>2115</v>
      </c>
      <c r="F300" s="1"/>
    </row>
    <row r="301" spans="1:6" x14ac:dyDescent="0.2">
      <c r="A301" s="194">
        <v>300</v>
      </c>
      <c r="B301" s="160" t="s">
        <v>305</v>
      </c>
      <c r="C301" s="161" t="s">
        <v>306</v>
      </c>
      <c r="D301" s="161" t="s">
        <v>1050</v>
      </c>
      <c r="E301" s="162" t="s">
        <v>2115</v>
      </c>
      <c r="F301" s="1"/>
    </row>
    <row r="302" spans="1:6" x14ac:dyDescent="0.2">
      <c r="A302" s="194">
        <v>301</v>
      </c>
      <c r="B302" s="160" t="s">
        <v>1083</v>
      </c>
      <c r="C302" s="161" t="s">
        <v>550</v>
      </c>
      <c r="D302" s="161" t="s">
        <v>1051</v>
      </c>
      <c r="E302" s="162" t="s">
        <v>2321</v>
      </c>
      <c r="F302" s="1"/>
    </row>
    <row r="303" spans="1:6" x14ac:dyDescent="0.2">
      <c r="A303" s="194">
        <v>302</v>
      </c>
      <c r="B303" s="160" t="s">
        <v>307</v>
      </c>
      <c r="C303" s="161" t="s">
        <v>1888</v>
      </c>
      <c r="D303" s="161" t="s">
        <v>1051</v>
      </c>
      <c r="E303" s="162" t="s">
        <v>2123</v>
      </c>
      <c r="F303" s="1"/>
    </row>
    <row r="304" spans="1:6" x14ac:dyDescent="0.2">
      <c r="A304" s="194">
        <v>303</v>
      </c>
      <c r="B304" s="160" t="s">
        <v>1889</v>
      </c>
      <c r="C304" s="161" t="s">
        <v>1890</v>
      </c>
      <c r="D304" s="161" t="s">
        <v>1051</v>
      </c>
      <c r="E304" s="162" t="s">
        <v>2115</v>
      </c>
      <c r="F304" s="1"/>
    </row>
    <row r="305" spans="1:6" x14ac:dyDescent="0.2">
      <c r="A305" s="194">
        <v>304</v>
      </c>
      <c r="B305" s="160" t="s">
        <v>308</v>
      </c>
      <c r="C305" s="161" t="s">
        <v>309</v>
      </c>
      <c r="D305" s="161" t="s">
        <v>1070</v>
      </c>
      <c r="E305" s="162" t="s">
        <v>2116</v>
      </c>
      <c r="F305" s="1"/>
    </row>
    <row r="306" spans="1:6" x14ac:dyDescent="0.2">
      <c r="A306" s="194">
        <v>305</v>
      </c>
      <c r="B306" s="160" t="s">
        <v>310</v>
      </c>
      <c r="C306" s="161" t="s">
        <v>311</v>
      </c>
      <c r="D306" s="161" t="s">
        <v>1070</v>
      </c>
      <c r="E306" s="162" t="s">
        <v>2116</v>
      </c>
      <c r="F306" s="1"/>
    </row>
    <row r="307" spans="1:6" x14ac:dyDescent="0.2">
      <c r="A307" s="194">
        <v>306</v>
      </c>
      <c r="B307" s="160" t="s">
        <v>1084</v>
      </c>
      <c r="C307" s="161" t="s">
        <v>1891</v>
      </c>
      <c r="D307" s="161" t="s">
        <v>1051</v>
      </c>
      <c r="E307" s="162" t="s">
        <v>2115</v>
      </c>
      <c r="F307" s="1"/>
    </row>
    <row r="308" spans="1:6" x14ac:dyDescent="0.2">
      <c r="A308" s="194">
        <v>307</v>
      </c>
      <c r="B308" s="160" t="s">
        <v>1892</v>
      </c>
      <c r="C308" s="161" t="s">
        <v>1893</v>
      </c>
      <c r="D308" s="161" t="s">
        <v>1050</v>
      </c>
      <c r="E308" s="162" t="s">
        <v>696</v>
      </c>
      <c r="F308" s="1"/>
    </row>
    <row r="309" spans="1:6" x14ac:dyDescent="0.2">
      <c r="A309" s="194">
        <v>308</v>
      </c>
      <c r="B309" s="160" t="s">
        <v>1894</v>
      </c>
      <c r="C309" s="161" t="s">
        <v>198</v>
      </c>
      <c r="D309" s="161" t="s">
        <v>1050</v>
      </c>
      <c r="E309" s="162" t="s">
        <v>2354</v>
      </c>
      <c r="F309" s="1"/>
    </row>
    <row r="310" spans="1:6" x14ac:dyDescent="0.2">
      <c r="A310" s="194">
        <v>309</v>
      </c>
      <c r="B310" s="160" t="s">
        <v>312</v>
      </c>
      <c r="C310" s="161" t="s">
        <v>1895</v>
      </c>
      <c r="D310" s="161" t="s">
        <v>1051</v>
      </c>
      <c r="E310" s="162" t="s">
        <v>2123</v>
      </c>
      <c r="F310" s="1"/>
    </row>
    <row r="311" spans="1:6" x14ac:dyDescent="0.2">
      <c r="A311" s="194">
        <v>310</v>
      </c>
      <c r="B311" s="160" t="s">
        <v>1896</v>
      </c>
      <c r="C311" s="161" t="s">
        <v>1895</v>
      </c>
      <c r="D311" s="161" t="s">
        <v>1051</v>
      </c>
      <c r="E311" s="162" t="s">
        <v>2123</v>
      </c>
      <c r="F311" s="1"/>
    </row>
    <row r="312" spans="1:6" x14ac:dyDescent="0.2">
      <c r="A312" s="194">
        <v>311</v>
      </c>
      <c r="B312" s="160" t="s">
        <v>1897</v>
      </c>
      <c r="C312" s="161" t="s">
        <v>313</v>
      </c>
      <c r="D312" s="161" t="s">
        <v>1070</v>
      </c>
      <c r="E312" s="162" t="s">
        <v>2123</v>
      </c>
      <c r="F312" s="1"/>
    </row>
    <row r="313" spans="1:6" x14ac:dyDescent="0.2">
      <c r="A313" s="194">
        <v>312</v>
      </c>
      <c r="B313" s="160" t="s">
        <v>314</v>
      </c>
      <c r="C313" s="161" t="s">
        <v>1517</v>
      </c>
      <c r="D313" s="161" t="s">
        <v>1050</v>
      </c>
      <c r="E313" s="162" t="s">
        <v>2116</v>
      </c>
      <c r="F313" s="1"/>
    </row>
    <row r="314" spans="1:6" x14ac:dyDescent="0.2">
      <c r="A314" s="194">
        <v>313</v>
      </c>
      <c r="B314" s="160" t="s">
        <v>315</v>
      </c>
      <c r="C314" s="161" t="s">
        <v>316</v>
      </c>
      <c r="D314" s="161" t="s">
        <v>1050</v>
      </c>
      <c r="E314" s="162" t="s">
        <v>2116</v>
      </c>
      <c r="F314" s="1"/>
    </row>
    <row r="315" spans="1:6" x14ac:dyDescent="0.2">
      <c r="A315" s="194">
        <v>314</v>
      </c>
      <c r="B315" s="160" t="s">
        <v>317</v>
      </c>
      <c r="C315" s="161" t="s">
        <v>1933</v>
      </c>
      <c r="D315" s="161" t="s">
        <v>1050</v>
      </c>
      <c r="E315" s="162" t="s">
        <v>2354</v>
      </c>
      <c r="F315" s="1"/>
    </row>
    <row r="316" spans="1:6" x14ac:dyDescent="0.2">
      <c r="A316" s="194">
        <v>315</v>
      </c>
      <c r="B316" s="160" t="s">
        <v>318</v>
      </c>
      <c r="C316" s="161" t="s">
        <v>319</v>
      </c>
      <c r="D316" s="161" t="s">
        <v>1051</v>
      </c>
      <c r="E316" s="162" t="s">
        <v>2321</v>
      </c>
      <c r="F316" s="1"/>
    </row>
    <row r="317" spans="1:6" x14ac:dyDescent="0.2">
      <c r="A317" s="194">
        <v>316</v>
      </c>
      <c r="B317" s="160" t="s">
        <v>320</v>
      </c>
      <c r="C317" s="161" t="s">
        <v>1085</v>
      </c>
      <c r="D317" s="161" t="s">
        <v>1051</v>
      </c>
      <c r="E317" s="162" t="s">
        <v>2116</v>
      </c>
      <c r="F317" s="1"/>
    </row>
    <row r="318" spans="1:6" x14ac:dyDescent="0.2">
      <c r="A318" s="194">
        <v>317</v>
      </c>
      <c r="B318" s="160" t="s">
        <v>321</v>
      </c>
      <c r="C318" s="161" t="s">
        <v>1518</v>
      </c>
      <c r="D318" s="161" t="s">
        <v>1051</v>
      </c>
      <c r="E318" s="162" t="s">
        <v>2115</v>
      </c>
      <c r="F318" s="1"/>
    </row>
    <row r="319" spans="1:6" x14ac:dyDescent="0.2">
      <c r="A319" s="194">
        <v>318</v>
      </c>
      <c r="B319" s="160" t="s">
        <v>322</v>
      </c>
      <c r="C319" s="161" t="s">
        <v>1518</v>
      </c>
      <c r="D319" s="161" t="s">
        <v>1051</v>
      </c>
      <c r="E319" s="162" t="s">
        <v>2115</v>
      </c>
      <c r="F319" s="1"/>
    </row>
    <row r="320" spans="1:6" x14ac:dyDescent="0.2">
      <c r="A320" s="194">
        <v>319</v>
      </c>
      <c r="B320" s="160" t="s">
        <v>323</v>
      </c>
      <c r="C320" s="161" t="s">
        <v>1898</v>
      </c>
      <c r="D320" s="161" t="s">
        <v>1051</v>
      </c>
      <c r="E320" s="162" t="s">
        <v>2354</v>
      </c>
      <c r="F320" s="1"/>
    </row>
    <row r="321" spans="1:6" x14ac:dyDescent="0.2">
      <c r="A321" s="194">
        <v>320</v>
      </c>
      <c r="B321" s="160" t="s">
        <v>324</v>
      </c>
      <c r="C321" s="161" t="s">
        <v>1899</v>
      </c>
      <c r="D321" s="161" t="s">
        <v>1051</v>
      </c>
      <c r="E321" s="162" t="s">
        <v>2354</v>
      </c>
      <c r="F321" s="1"/>
    </row>
    <row r="322" spans="1:6" x14ac:dyDescent="0.2">
      <c r="A322" s="194">
        <v>321</v>
      </c>
      <c r="B322" s="160" t="s">
        <v>1519</v>
      </c>
      <c r="C322" s="161" t="s">
        <v>1520</v>
      </c>
      <c r="D322" s="161" t="s">
        <v>1050</v>
      </c>
      <c r="E322" s="162" t="s">
        <v>2354</v>
      </c>
      <c r="F322" s="1"/>
    </row>
    <row r="323" spans="1:6" x14ac:dyDescent="0.2">
      <c r="A323" s="194">
        <v>322</v>
      </c>
      <c r="B323" s="160" t="s">
        <v>325</v>
      </c>
      <c r="C323" s="161" t="s">
        <v>1900</v>
      </c>
      <c r="D323" s="161" t="s">
        <v>1070</v>
      </c>
      <c r="E323" s="162" t="s">
        <v>2115</v>
      </c>
      <c r="F323" s="1"/>
    </row>
    <row r="324" spans="1:6" x14ac:dyDescent="0.2">
      <c r="A324" s="194">
        <v>323</v>
      </c>
      <c r="B324" s="160" t="s">
        <v>1521</v>
      </c>
      <c r="C324" s="161" t="s">
        <v>2280</v>
      </c>
      <c r="D324" s="161" t="s">
        <v>1050</v>
      </c>
      <c r="E324" s="162" t="s">
        <v>2116</v>
      </c>
      <c r="F324" s="1"/>
    </row>
    <row r="325" spans="1:6" x14ac:dyDescent="0.2">
      <c r="A325" s="194">
        <v>324</v>
      </c>
      <c r="B325" s="160" t="s">
        <v>326</v>
      </c>
      <c r="C325" s="161" t="s">
        <v>327</v>
      </c>
      <c r="D325" s="161" t="s">
        <v>1070</v>
      </c>
      <c r="E325" s="162" t="s">
        <v>2123</v>
      </c>
      <c r="F325" s="1"/>
    </row>
    <row r="326" spans="1:6" x14ac:dyDescent="0.2">
      <c r="A326" s="194">
        <v>325</v>
      </c>
      <c r="B326" s="160" t="s">
        <v>328</v>
      </c>
      <c r="C326" s="161" t="s">
        <v>329</v>
      </c>
      <c r="D326" s="161" t="s">
        <v>1070</v>
      </c>
      <c r="E326" s="162" t="s">
        <v>2123</v>
      </c>
      <c r="F326" s="1"/>
    </row>
    <row r="327" spans="1:6" x14ac:dyDescent="0.2">
      <c r="A327" s="194">
        <v>326</v>
      </c>
      <c r="B327" s="160" t="s">
        <v>330</v>
      </c>
      <c r="C327" s="161" t="s">
        <v>331</v>
      </c>
      <c r="D327" s="161" t="s">
        <v>1070</v>
      </c>
      <c r="E327" s="162" t="s">
        <v>2123</v>
      </c>
      <c r="F327" s="1"/>
    </row>
    <row r="328" spans="1:6" x14ac:dyDescent="0.2">
      <c r="A328" s="194">
        <v>327</v>
      </c>
      <c r="B328" s="160" t="s">
        <v>332</v>
      </c>
      <c r="C328" s="161" t="s">
        <v>1901</v>
      </c>
      <c r="D328" s="161" t="s">
        <v>1070</v>
      </c>
      <c r="E328" s="162" t="s">
        <v>2123</v>
      </c>
      <c r="F328" s="1"/>
    </row>
    <row r="329" spans="1:6" x14ac:dyDescent="0.2">
      <c r="A329" s="194">
        <v>328</v>
      </c>
      <c r="B329" s="160" t="s">
        <v>333</v>
      </c>
      <c r="C329" s="161" t="s">
        <v>1902</v>
      </c>
      <c r="D329" s="161" t="s">
        <v>1070</v>
      </c>
      <c r="E329" s="162" t="s">
        <v>2123</v>
      </c>
      <c r="F329" s="1"/>
    </row>
    <row r="330" spans="1:6" x14ac:dyDescent="0.2">
      <c r="A330" s="194">
        <v>329</v>
      </c>
      <c r="B330" s="160" t="s">
        <v>334</v>
      </c>
      <c r="C330" s="161" t="s">
        <v>335</v>
      </c>
      <c r="D330" s="161" t="s">
        <v>1051</v>
      </c>
      <c r="E330" s="162" t="s">
        <v>2123</v>
      </c>
      <c r="F330" s="1"/>
    </row>
    <row r="331" spans="1:6" x14ac:dyDescent="0.2">
      <c r="A331" s="194">
        <v>330</v>
      </c>
      <c r="B331" s="160" t="s">
        <v>336</v>
      </c>
      <c r="C331" s="161" t="s">
        <v>337</v>
      </c>
      <c r="D331" s="161" t="s">
        <v>1070</v>
      </c>
      <c r="E331" s="162" t="s">
        <v>2123</v>
      </c>
      <c r="F331" s="1"/>
    </row>
    <row r="332" spans="1:6" x14ac:dyDescent="0.2">
      <c r="A332" s="194">
        <v>331</v>
      </c>
      <c r="B332" s="160" t="s">
        <v>338</v>
      </c>
      <c r="C332" s="161" t="s">
        <v>339</v>
      </c>
      <c r="D332" s="161" t="s">
        <v>1051</v>
      </c>
      <c r="E332" s="162" t="s">
        <v>2354</v>
      </c>
      <c r="F332" s="1"/>
    </row>
    <row r="333" spans="1:6" x14ac:dyDescent="0.2">
      <c r="A333" s="194">
        <v>332</v>
      </c>
      <c r="B333" s="160" t="s">
        <v>340</v>
      </c>
      <c r="C333" s="161" t="s">
        <v>1903</v>
      </c>
      <c r="D333" s="161" t="s">
        <v>1070</v>
      </c>
      <c r="E333" s="162" t="s">
        <v>2115</v>
      </c>
      <c r="F333" s="1"/>
    </row>
    <row r="334" spans="1:6" x14ac:dyDescent="0.2">
      <c r="A334" s="194">
        <v>333</v>
      </c>
      <c r="B334" s="160" t="s">
        <v>1522</v>
      </c>
      <c r="C334" s="161" t="s">
        <v>395</v>
      </c>
      <c r="D334" s="161" t="s">
        <v>1051</v>
      </c>
      <c r="E334" s="162" t="s">
        <v>2115</v>
      </c>
      <c r="F334" s="1"/>
    </row>
    <row r="335" spans="1:6" x14ac:dyDescent="0.2">
      <c r="A335" s="194">
        <v>334</v>
      </c>
      <c r="B335" s="160" t="s">
        <v>341</v>
      </c>
      <c r="C335" s="161" t="s">
        <v>342</v>
      </c>
      <c r="D335" s="161" t="s">
        <v>1050</v>
      </c>
      <c r="E335" s="162" t="s">
        <v>2116</v>
      </c>
      <c r="F335" s="1"/>
    </row>
    <row r="336" spans="1:6" x14ac:dyDescent="0.2">
      <c r="A336" s="194">
        <v>335</v>
      </c>
      <c r="B336" s="160" t="s">
        <v>343</v>
      </c>
      <c r="C336" s="161" t="s">
        <v>342</v>
      </c>
      <c r="D336" s="161" t="s">
        <v>1050</v>
      </c>
      <c r="E336" s="162" t="s">
        <v>2116</v>
      </c>
      <c r="F336" s="1"/>
    </row>
    <row r="337" spans="1:6" x14ac:dyDescent="0.2">
      <c r="A337" s="194">
        <v>336</v>
      </c>
      <c r="B337" s="160" t="s">
        <v>344</v>
      </c>
      <c r="C337" s="161" t="s">
        <v>345</v>
      </c>
      <c r="D337" s="161" t="s">
        <v>1051</v>
      </c>
      <c r="E337" s="162" t="s">
        <v>2115</v>
      </c>
      <c r="F337" s="1"/>
    </row>
    <row r="338" spans="1:6" x14ac:dyDescent="0.2">
      <c r="A338" s="194">
        <v>337</v>
      </c>
      <c r="B338" s="160" t="s">
        <v>346</v>
      </c>
      <c r="C338" s="161" t="s">
        <v>1904</v>
      </c>
      <c r="D338" s="161" t="s">
        <v>1070</v>
      </c>
      <c r="E338" s="162" t="s">
        <v>2115</v>
      </c>
      <c r="F338" s="1"/>
    </row>
    <row r="339" spans="1:6" x14ac:dyDescent="0.2">
      <c r="A339" s="194">
        <v>338</v>
      </c>
      <c r="B339" s="160" t="s">
        <v>348</v>
      </c>
      <c r="C339" s="161" t="s">
        <v>347</v>
      </c>
      <c r="D339" s="161" t="s">
        <v>1051</v>
      </c>
      <c r="E339" s="162" t="s">
        <v>2115</v>
      </c>
      <c r="F339" s="1"/>
    </row>
    <row r="340" spans="1:6" x14ac:dyDescent="0.2">
      <c r="A340" s="194">
        <v>339</v>
      </c>
      <c r="B340" s="160" t="s">
        <v>349</v>
      </c>
      <c r="C340" s="161" t="s">
        <v>1905</v>
      </c>
      <c r="D340" s="161" t="s">
        <v>1051</v>
      </c>
      <c r="E340" s="162" t="s">
        <v>2115</v>
      </c>
      <c r="F340" s="1"/>
    </row>
    <row r="341" spans="1:6" x14ac:dyDescent="0.2">
      <c r="A341" s="194">
        <v>340</v>
      </c>
      <c r="B341" s="160" t="s">
        <v>350</v>
      </c>
      <c r="C341" s="161" t="s">
        <v>56</v>
      </c>
      <c r="D341" s="161" t="s">
        <v>1051</v>
      </c>
      <c r="E341" s="162" t="s">
        <v>2115</v>
      </c>
      <c r="F341" s="1"/>
    </row>
    <row r="342" spans="1:6" x14ac:dyDescent="0.2">
      <c r="A342" s="194">
        <v>341</v>
      </c>
      <c r="B342" s="160" t="s">
        <v>351</v>
      </c>
      <c r="C342" s="161" t="s">
        <v>1086</v>
      </c>
      <c r="D342" s="161" t="s">
        <v>1051</v>
      </c>
      <c r="E342" s="162" t="s">
        <v>2115</v>
      </c>
      <c r="F342" s="1"/>
    </row>
    <row r="343" spans="1:6" x14ac:dyDescent="0.2">
      <c r="A343" s="194">
        <v>342</v>
      </c>
      <c r="B343" s="160" t="s">
        <v>1906</v>
      </c>
      <c r="C343" s="161" t="s">
        <v>1087</v>
      </c>
      <c r="D343" s="161" t="s">
        <v>1051</v>
      </c>
      <c r="E343" s="162" t="s">
        <v>2115</v>
      </c>
      <c r="F343" s="1"/>
    </row>
    <row r="344" spans="1:6" x14ac:dyDescent="0.2">
      <c r="A344" s="194">
        <v>343</v>
      </c>
      <c r="B344" s="160" t="s">
        <v>352</v>
      </c>
      <c r="C344" s="161" t="s">
        <v>1087</v>
      </c>
      <c r="D344" s="161" t="s">
        <v>1051</v>
      </c>
      <c r="E344" s="162" t="s">
        <v>2115</v>
      </c>
      <c r="F344" s="1"/>
    </row>
    <row r="345" spans="1:6" x14ac:dyDescent="0.2">
      <c r="A345" s="194">
        <v>344</v>
      </c>
      <c r="B345" s="160" t="s">
        <v>353</v>
      </c>
      <c r="C345" s="161" t="s">
        <v>1907</v>
      </c>
      <c r="D345" s="161" t="s">
        <v>1051</v>
      </c>
      <c r="E345" s="162" t="s">
        <v>2115</v>
      </c>
      <c r="F345" s="1"/>
    </row>
    <row r="346" spans="1:6" x14ac:dyDescent="0.2">
      <c r="A346" s="194">
        <v>345</v>
      </c>
      <c r="B346" s="160" t="s">
        <v>1908</v>
      </c>
      <c r="C346" s="161" t="s">
        <v>1904</v>
      </c>
      <c r="D346" s="161" t="s">
        <v>1070</v>
      </c>
      <c r="E346" s="162" t="s">
        <v>2115</v>
      </c>
      <c r="F346" s="1"/>
    </row>
    <row r="347" spans="1:6" x14ac:dyDescent="0.2">
      <c r="A347" s="194">
        <v>346</v>
      </c>
      <c r="B347" s="160" t="s">
        <v>354</v>
      </c>
      <c r="C347" s="161" t="s">
        <v>1523</v>
      </c>
      <c r="D347" s="161" t="s">
        <v>1050</v>
      </c>
      <c r="E347" s="162" t="s">
        <v>2116</v>
      </c>
      <c r="F347" s="1"/>
    </row>
    <row r="348" spans="1:6" x14ac:dyDescent="0.2">
      <c r="A348" s="194">
        <v>347</v>
      </c>
      <c r="B348" s="160" t="s">
        <v>355</v>
      </c>
      <c r="C348" s="161" t="s">
        <v>1524</v>
      </c>
      <c r="D348" s="161" t="s">
        <v>1050</v>
      </c>
      <c r="E348" s="162" t="s">
        <v>2116</v>
      </c>
      <c r="F348" s="1"/>
    </row>
    <row r="349" spans="1:6" x14ac:dyDescent="0.2">
      <c r="A349" s="194">
        <v>348</v>
      </c>
      <c r="B349" s="160" t="s">
        <v>356</v>
      </c>
      <c r="C349" s="161" t="s">
        <v>357</v>
      </c>
      <c r="D349" s="161" t="s">
        <v>1050</v>
      </c>
      <c r="E349" s="162" t="s">
        <v>2116</v>
      </c>
      <c r="F349" s="1"/>
    </row>
    <row r="350" spans="1:6" x14ac:dyDescent="0.2">
      <c r="A350" s="194">
        <v>349</v>
      </c>
      <c r="B350" s="160" t="s">
        <v>358</v>
      </c>
      <c r="C350" s="161" t="s">
        <v>2151</v>
      </c>
      <c r="D350" s="161" t="s">
        <v>1050</v>
      </c>
      <c r="E350" s="162" t="s">
        <v>2116</v>
      </c>
      <c r="F350" s="1"/>
    </row>
    <row r="351" spans="1:6" x14ac:dyDescent="0.2">
      <c r="A351" s="194">
        <v>350</v>
      </c>
      <c r="B351" s="160" t="s">
        <v>359</v>
      </c>
      <c r="C351" s="161" t="s">
        <v>360</v>
      </c>
      <c r="D351" s="161" t="s">
        <v>1050</v>
      </c>
      <c r="E351" s="162" t="s">
        <v>2116</v>
      </c>
      <c r="F351" s="1"/>
    </row>
    <row r="352" spans="1:6" x14ac:dyDescent="0.2">
      <c r="A352" s="194">
        <v>351</v>
      </c>
      <c r="B352" s="160" t="s">
        <v>361</v>
      </c>
      <c r="C352" s="161" t="s">
        <v>1909</v>
      </c>
      <c r="D352" s="161" t="s">
        <v>1050</v>
      </c>
      <c r="E352" s="162" t="s">
        <v>2116</v>
      </c>
      <c r="F352" s="1"/>
    </row>
    <row r="353" spans="1:6" x14ac:dyDescent="0.2">
      <c r="A353" s="194">
        <v>352</v>
      </c>
      <c r="B353" s="160" t="s">
        <v>362</v>
      </c>
      <c r="C353" s="161" t="s">
        <v>1525</v>
      </c>
      <c r="D353" s="161" t="s">
        <v>1050</v>
      </c>
      <c r="E353" s="162" t="s">
        <v>2116</v>
      </c>
      <c r="F353" s="1"/>
    </row>
    <row r="354" spans="1:6" x14ac:dyDescent="0.2">
      <c r="A354" s="194">
        <v>353</v>
      </c>
      <c r="B354" s="160" t="s">
        <v>363</v>
      </c>
      <c r="C354" s="161" t="s">
        <v>364</v>
      </c>
      <c r="D354" s="161" t="s">
        <v>1050</v>
      </c>
      <c r="E354" s="162" t="s">
        <v>2116</v>
      </c>
      <c r="F354" s="1"/>
    </row>
    <row r="355" spans="1:6" x14ac:dyDescent="0.2">
      <c r="A355" s="194">
        <v>354</v>
      </c>
      <c r="B355" s="160" t="s">
        <v>365</v>
      </c>
      <c r="C355" s="161" t="s">
        <v>366</v>
      </c>
      <c r="D355" s="161" t="s">
        <v>1050</v>
      </c>
      <c r="E355" s="162" t="s">
        <v>2116</v>
      </c>
      <c r="F355" s="1"/>
    </row>
    <row r="356" spans="1:6" x14ac:dyDescent="0.2">
      <c r="A356" s="194">
        <v>355</v>
      </c>
      <c r="B356" s="160" t="s">
        <v>367</v>
      </c>
      <c r="C356" s="161" t="s">
        <v>2152</v>
      </c>
      <c r="D356" s="161" t="s">
        <v>1050</v>
      </c>
      <c r="E356" s="162" t="s">
        <v>2116</v>
      </c>
      <c r="F356" s="1"/>
    </row>
    <row r="357" spans="1:6" x14ac:dyDescent="0.2">
      <c r="A357" s="194">
        <v>356</v>
      </c>
      <c r="B357" s="160" t="s">
        <v>2153</v>
      </c>
      <c r="C357" s="161" t="s">
        <v>368</v>
      </c>
      <c r="D357" s="161" t="s">
        <v>1050</v>
      </c>
      <c r="E357" s="162" t="s">
        <v>2116</v>
      </c>
      <c r="F357" s="1"/>
    </row>
    <row r="358" spans="1:6" x14ac:dyDescent="0.2">
      <c r="A358" s="194">
        <v>357</v>
      </c>
      <c r="B358" s="160" t="s">
        <v>369</v>
      </c>
      <c r="C358" s="161" t="s">
        <v>1526</v>
      </c>
      <c r="D358" s="161" t="s">
        <v>1050</v>
      </c>
      <c r="E358" s="162" t="s">
        <v>2116</v>
      </c>
      <c r="F358" s="1"/>
    </row>
    <row r="359" spans="1:6" x14ac:dyDescent="0.2">
      <c r="A359" s="194">
        <v>358</v>
      </c>
      <c r="B359" s="160" t="s">
        <v>370</v>
      </c>
      <c r="C359" s="161" t="s">
        <v>371</v>
      </c>
      <c r="D359" s="161" t="s">
        <v>1050</v>
      </c>
      <c r="E359" s="162" t="s">
        <v>2116</v>
      </c>
      <c r="F359" s="1"/>
    </row>
    <row r="360" spans="1:6" x14ac:dyDescent="0.2">
      <c r="A360" s="194">
        <v>359</v>
      </c>
      <c r="B360" s="160" t="s">
        <v>372</v>
      </c>
      <c r="C360" s="161" t="s">
        <v>373</v>
      </c>
      <c r="D360" s="161" t="s">
        <v>1051</v>
      </c>
      <c r="E360" s="162" t="s">
        <v>2116</v>
      </c>
      <c r="F360" s="1"/>
    </row>
    <row r="361" spans="1:6" x14ac:dyDescent="0.2">
      <c r="A361" s="194">
        <v>360</v>
      </c>
      <c r="B361" s="160" t="s">
        <v>374</v>
      </c>
      <c r="C361" s="161" t="s">
        <v>1527</v>
      </c>
      <c r="D361" s="161" t="s">
        <v>1070</v>
      </c>
      <c r="E361" s="162" t="s">
        <v>2116</v>
      </c>
      <c r="F361" s="1"/>
    </row>
    <row r="362" spans="1:6" x14ac:dyDescent="0.2">
      <c r="A362" s="194">
        <v>361</v>
      </c>
      <c r="B362" s="160" t="s">
        <v>375</v>
      </c>
      <c r="C362" s="161" t="s">
        <v>148</v>
      </c>
      <c r="D362" s="161" t="s">
        <v>1070</v>
      </c>
      <c r="E362" s="162" t="s">
        <v>2123</v>
      </c>
      <c r="F362" s="1"/>
    </row>
    <row r="363" spans="1:6" x14ac:dyDescent="0.2">
      <c r="A363" s="194">
        <v>362</v>
      </c>
      <c r="B363" s="160" t="s">
        <v>1910</v>
      </c>
      <c r="C363" s="161" t="s">
        <v>376</v>
      </c>
      <c r="D363" s="161" t="s">
        <v>1070</v>
      </c>
      <c r="E363" s="162" t="s">
        <v>2123</v>
      </c>
      <c r="F363" s="1"/>
    </row>
    <row r="364" spans="1:6" x14ac:dyDescent="0.2">
      <c r="A364" s="194">
        <v>363</v>
      </c>
      <c r="B364" s="160" t="s">
        <v>377</v>
      </c>
      <c r="C364" s="161" t="s">
        <v>376</v>
      </c>
      <c r="D364" s="161" t="s">
        <v>1070</v>
      </c>
      <c r="E364" s="162" t="s">
        <v>2123</v>
      </c>
      <c r="F364" s="1"/>
    </row>
    <row r="365" spans="1:6" x14ac:dyDescent="0.2">
      <c r="A365" s="194">
        <v>364</v>
      </c>
      <c r="B365" s="160" t="s">
        <v>378</v>
      </c>
      <c r="C365" s="161" t="s">
        <v>379</v>
      </c>
      <c r="D365" s="161" t="s">
        <v>1050</v>
      </c>
      <c r="E365" s="162" t="s">
        <v>2115</v>
      </c>
      <c r="F365" s="1"/>
    </row>
    <row r="366" spans="1:6" x14ac:dyDescent="0.2">
      <c r="A366" s="194">
        <v>365</v>
      </c>
      <c r="B366" s="160" t="s">
        <v>380</v>
      </c>
      <c r="C366" s="161" t="s">
        <v>379</v>
      </c>
      <c r="D366" s="161" t="s">
        <v>1050</v>
      </c>
      <c r="E366" s="162" t="s">
        <v>2115</v>
      </c>
      <c r="F366" s="1"/>
    </row>
    <row r="367" spans="1:6" x14ac:dyDescent="0.2">
      <c r="A367" s="194">
        <v>366</v>
      </c>
      <c r="B367" s="160" t="s">
        <v>381</v>
      </c>
      <c r="C367" s="161" t="s">
        <v>1911</v>
      </c>
      <c r="D367" s="161" t="s">
        <v>1050</v>
      </c>
      <c r="E367" s="162" t="s">
        <v>2115</v>
      </c>
      <c r="F367" s="1"/>
    </row>
    <row r="368" spans="1:6" x14ac:dyDescent="0.2">
      <c r="A368" s="194">
        <v>367</v>
      </c>
      <c r="B368" s="160" t="s">
        <v>382</v>
      </c>
      <c r="C368" s="161" t="s">
        <v>1528</v>
      </c>
      <c r="D368" s="161" t="s">
        <v>1051</v>
      </c>
      <c r="E368" s="162" t="s">
        <v>2115</v>
      </c>
      <c r="F368" s="1"/>
    </row>
    <row r="369" spans="1:6" x14ac:dyDescent="0.2">
      <c r="A369" s="194">
        <v>368</v>
      </c>
      <c r="B369" s="160" t="s">
        <v>383</v>
      </c>
      <c r="C369" s="161" t="s">
        <v>384</v>
      </c>
      <c r="D369" s="161" t="s">
        <v>1050</v>
      </c>
      <c r="E369" s="162" t="s">
        <v>2115</v>
      </c>
      <c r="F369" s="1"/>
    </row>
    <row r="370" spans="1:6" x14ac:dyDescent="0.2">
      <c r="A370" s="194">
        <v>369</v>
      </c>
      <c r="B370" s="160" t="s">
        <v>1088</v>
      </c>
      <c r="C370" s="161" t="s">
        <v>1089</v>
      </c>
      <c r="D370" s="161" t="s">
        <v>1050</v>
      </c>
      <c r="E370" s="162" t="s">
        <v>2354</v>
      </c>
      <c r="F370" s="1"/>
    </row>
    <row r="371" spans="1:6" x14ac:dyDescent="0.2">
      <c r="A371" s="194">
        <v>370</v>
      </c>
      <c r="B371" s="160" t="s">
        <v>385</v>
      </c>
      <c r="C371" s="161" t="s">
        <v>386</v>
      </c>
      <c r="D371" s="161" t="s">
        <v>1051</v>
      </c>
      <c r="E371" s="162" t="s">
        <v>2115</v>
      </c>
      <c r="F371" s="1"/>
    </row>
    <row r="372" spans="1:6" x14ac:dyDescent="0.2">
      <c r="A372" s="194">
        <v>371</v>
      </c>
      <c r="B372" s="160" t="s">
        <v>387</v>
      </c>
      <c r="C372" s="161" t="s">
        <v>1090</v>
      </c>
      <c r="D372" s="161" t="s">
        <v>1070</v>
      </c>
      <c r="E372" s="162" t="s">
        <v>2116</v>
      </c>
      <c r="F372" s="1"/>
    </row>
    <row r="373" spans="1:6" x14ac:dyDescent="0.2">
      <c r="A373" s="194">
        <v>372</v>
      </c>
      <c r="B373" s="160" t="s">
        <v>389</v>
      </c>
      <c r="C373" s="161" t="s">
        <v>390</v>
      </c>
      <c r="D373" s="161" t="s">
        <v>1050</v>
      </c>
      <c r="E373" s="162" t="s">
        <v>2116</v>
      </c>
      <c r="F373" s="1"/>
    </row>
    <row r="374" spans="1:6" x14ac:dyDescent="0.2">
      <c r="A374" s="194">
        <v>373</v>
      </c>
      <c r="B374" s="160" t="s">
        <v>391</v>
      </c>
      <c r="C374" s="161" t="s">
        <v>392</v>
      </c>
      <c r="D374" s="161" t="s">
        <v>1050</v>
      </c>
      <c r="E374" s="162" t="s">
        <v>2116</v>
      </c>
      <c r="F374" s="1"/>
    </row>
    <row r="375" spans="1:6" x14ac:dyDescent="0.2">
      <c r="A375" s="194">
        <v>374</v>
      </c>
      <c r="B375" s="160" t="s">
        <v>393</v>
      </c>
      <c r="C375" s="161" t="s">
        <v>1912</v>
      </c>
      <c r="D375" s="161" t="s">
        <v>1050</v>
      </c>
      <c r="E375" s="162" t="s">
        <v>2116</v>
      </c>
      <c r="F375" s="1"/>
    </row>
    <row r="376" spans="1:6" x14ac:dyDescent="0.2">
      <c r="A376" s="194">
        <v>375</v>
      </c>
      <c r="B376" s="160" t="s">
        <v>394</v>
      </c>
      <c r="C376" s="161" t="s">
        <v>395</v>
      </c>
      <c r="D376" s="161" t="s">
        <v>1051</v>
      </c>
      <c r="E376" s="162" t="s">
        <v>2354</v>
      </c>
      <c r="F376" s="1"/>
    </row>
    <row r="377" spans="1:6" x14ac:dyDescent="0.2">
      <c r="A377" s="194">
        <v>376</v>
      </c>
      <c r="B377" s="160" t="s">
        <v>2154</v>
      </c>
      <c r="C377" s="161" t="s">
        <v>2155</v>
      </c>
      <c r="D377" s="161" t="s">
        <v>1050</v>
      </c>
      <c r="E377" s="162" t="s">
        <v>2354</v>
      </c>
      <c r="F377" s="1"/>
    </row>
    <row r="378" spans="1:6" x14ac:dyDescent="0.2">
      <c r="A378" s="194">
        <v>377</v>
      </c>
      <c r="B378" s="160" t="s">
        <v>396</v>
      </c>
      <c r="C378" s="161" t="s">
        <v>1091</v>
      </c>
      <c r="D378" s="161" t="s">
        <v>1051</v>
      </c>
      <c r="E378" s="162" t="s">
        <v>2354</v>
      </c>
      <c r="F378" s="1"/>
    </row>
    <row r="379" spans="1:6" x14ac:dyDescent="0.2">
      <c r="A379" s="194">
        <v>378</v>
      </c>
      <c r="B379" s="160" t="s">
        <v>397</v>
      </c>
      <c r="C379" s="161" t="s">
        <v>1913</v>
      </c>
      <c r="D379" s="161" t="s">
        <v>1050</v>
      </c>
      <c r="E379" s="162" t="s">
        <v>2354</v>
      </c>
      <c r="F379" s="1"/>
    </row>
    <row r="380" spans="1:6" x14ac:dyDescent="0.2">
      <c r="A380" s="194">
        <v>379</v>
      </c>
      <c r="B380" s="160" t="s">
        <v>398</v>
      </c>
      <c r="C380" s="161" t="s">
        <v>398</v>
      </c>
      <c r="D380" s="161" t="s">
        <v>1050</v>
      </c>
      <c r="E380" s="162" t="s">
        <v>2116</v>
      </c>
      <c r="F380" s="1"/>
    </row>
    <row r="381" spans="1:6" x14ac:dyDescent="0.2">
      <c r="A381" s="194">
        <v>380</v>
      </c>
      <c r="B381" s="160" t="s">
        <v>399</v>
      </c>
      <c r="C381" s="161" t="s">
        <v>400</v>
      </c>
      <c r="D381" s="161" t="s">
        <v>1050</v>
      </c>
      <c r="E381" s="162" t="s">
        <v>2116</v>
      </c>
      <c r="F381" s="1"/>
    </row>
    <row r="382" spans="1:6" x14ac:dyDescent="0.2">
      <c r="A382" s="194">
        <v>381</v>
      </c>
      <c r="B382" s="160" t="s">
        <v>401</v>
      </c>
      <c r="C382" s="161" t="s">
        <v>402</v>
      </c>
      <c r="D382" s="161" t="s">
        <v>1050</v>
      </c>
      <c r="E382" s="162" t="s">
        <v>2116</v>
      </c>
      <c r="F382" s="1"/>
    </row>
    <row r="383" spans="1:6" x14ac:dyDescent="0.2">
      <c r="A383" s="194">
        <v>382</v>
      </c>
      <c r="B383" s="173" t="s">
        <v>2314</v>
      </c>
      <c r="C383" s="174" t="s">
        <v>2315</v>
      </c>
      <c r="D383" s="174" t="s">
        <v>1050</v>
      </c>
      <c r="E383" s="174" t="s">
        <v>2116</v>
      </c>
      <c r="F383" s="1"/>
    </row>
    <row r="384" spans="1:6" x14ac:dyDescent="0.2">
      <c r="A384" s="194">
        <v>383</v>
      </c>
      <c r="B384" s="160" t="s">
        <v>403</v>
      </c>
      <c r="C384" s="161" t="s">
        <v>404</v>
      </c>
      <c r="D384" s="161" t="s">
        <v>1070</v>
      </c>
      <c r="E384" s="162" t="s">
        <v>2116</v>
      </c>
      <c r="F384" s="1"/>
    </row>
    <row r="385" spans="1:6" x14ac:dyDescent="0.2">
      <c r="A385" s="194">
        <v>384</v>
      </c>
      <c r="B385" s="160" t="s">
        <v>405</v>
      </c>
      <c r="C385" s="161" t="s">
        <v>406</v>
      </c>
      <c r="D385" s="161" t="s">
        <v>1051</v>
      </c>
      <c r="E385" s="162" t="s">
        <v>2115</v>
      </c>
      <c r="F385" s="1"/>
    </row>
    <row r="386" spans="1:6" x14ac:dyDescent="0.2">
      <c r="A386" s="194">
        <v>385</v>
      </c>
      <c r="B386" s="165" t="s">
        <v>2281</v>
      </c>
      <c r="C386" s="166" t="s">
        <v>2282</v>
      </c>
      <c r="D386" s="166" t="s">
        <v>1050</v>
      </c>
      <c r="E386" s="162" t="s">
        <v>2354</v>
      </c>
      <c r="F386" s="1"/>
    </row>
    <row r="387" spans="1:6" x14ac:dyDescent="0.2">
      <c r="A387" s="194">
        <v>386</v>
      </c>
      <c r="B387" s="160" t="s">
        <v>407</v>
      </c>
      <c r="C387" s="161" t="s">
        <v>408</v>
      </c>
      <c r="D387" s="161" t="s">
        <v>1051</v>
      </c>
      <c r="E387" s="162" t="s">
        <v>2354</v>
      </c>
      <c r="F387" s="1"/>
    </row>
    <row r="388" spans="1:6" x14ac:dyDescent="0.2">
      <c r="A388" s="194">
        <v>387</v>
      </c>
      <c r="B388" s="160" t="s">
        <v>409</v>
      </c>
      <c r="C388" s="161" t="s">
        <v>410</v>
      </c>
      <c r="D388" s="161" t="s">
        <v>1050</v>
      </c>
      <c r="E388" s="162" t="s">
        <v>2116</v>
      </c>
      <c r="F388" s="1"/>
    </row>
    <row r="389" spans="1:6" x14ac:dyDescent="0.2">
      <c r="A389" s="194">
        <v>388</v>
      </c>
      <c r="B389" s="160" t="s">
        <v>411</v>
      </c>
      <c r="C389" s="161" t="s">
        <v>412</v>
      </c>
      <c r="D389" s="161" t="s">
        <v>1050</v>
      </c>
      <c r="E389" s="162" t="s">
        <v>2116</v>
      </c>
      <c r="F389" s="1"/>
    </row>
    <row r="390" spans="1:6" x14ac:dyDescent="0.2">
      <c r="A390" s="194">
        <v>389</v>
      </c>
      <c r="B390" s="160" t="s">
        <v>413</v>
      </c>
      <c r="C390" s="161" t="s">
        <v>1914</v>
      </c>
      <c r="D390" s="161" t="s">
        <v>1050</v>
      </c>
      <c r="E390" s="162" t="s">
        <v>2116</v>
      </c>
      <c r="F390" s="1"/>
    </row>
    <row r="391" spans="1:6" x14ac:dyDescent="0.2">
      <c r="A391" s="194">
        <v>390</v>
      </c>
      <c r="B391" s="160" t="s">
        <v>414</v>
      </c>
      <c r="C391" s="161" t="s">
        <v>415</v>
      </c>
      <c r="D391" s="161" t="s">
        <v>1051</v>
      </c>
      <c r="E391" s="162" t="s">
        <v>2115</v>
      </c>
      <c r="F391" s="1"/>
    </row>
    <row r="392" spans="1:6" x14ac:dyDescent="0.2">
      <c r="A392" s="194">
        <v>391</v>
      </c>
      <c r="B392" s="160" t="s">
        <v>416</v>
      </c>
      <c r="C392" s="161" t="s">
        <v>1092</v>
      </c>
      <c r="D392" s="161" t="s">
        <v>1051</v>
      </c>
      <c r="E392" s="162" t="s">
        <v>2115</v>
      </c>
      <c r="F392" s="1"/>
    </row>
    <row r="393" spans="1:6" x14ac:dyDescent="0.2">
      <c r="A393" s="194">
        <v>392</v>
      </c>
      <c r="B393" s="160" t="s">
        <v>417</v>
      </c>
      <c r="C393" s="161" t="s">
        <v>418</v>
      </c>
      <c r="D393" s="161" t="s">
        <v>1051</v>
      </c>
      <c r="E393" s="162" t="s">
        <v>2115</v>
      </c>
      <c r="F393" s="1"/>
    </row>
    <row r="394" spans="1:6" x14ac:dyDescent="0.2">
      <c r="A394" s="194">
        <v>393</v>
      </c>
      <c r="B394" s="160" t="s">
        <v>419</v>
      </c>
      <c r="C394" s="161" t="s">
        <v>418</v>
      </c>
      <c r="D394" s="161" t="s">
        <v>1051</v>
      </c>
      <c r="E394" s="162" t="s">
        <v>2115</v>
      </c>
      <c r="F394" s="1"/>
    </row>
    <row r="395" spans="1:6" x14ac:dyDescent="0.2">
      <c r="A395" s="194">
        <v>394</v>
      </c>
      <c r="B395" s="160" t="s">
        <v>1915</v>
      </c>
      <c r="C395" s="161" t="s">
        <v>418</v>
      </c>
      <c r="D395" s="161" t="s">
        <v>1051</v>
      </c>
      <c r="E395" s="162" t="s">
        <v>2115</v>
      </c>
      <c r="F395" s="1"/>
    </row>
    <row r="396" spans="1:6" x14ac:dyDescent="0.2">
      <c r="A396" s="194">
        <v>395</v>
      </c>
      <c r="B396" s="160" t="s">
        <v>420</v>
      </c>
      <c r="C396" s="161" t="s">
        <v>418</v>
      </c>
      <c r="D396" s="161" t="s">
        <v>1051</v>
      </c>
      <c r="E396" s="162" t="s">
        <v>2115</v>
      </c>
      <c r="F396" s="1"/>
    </row>
    <row r="397" spans="1:6" x14ac:dyDescent="0.2">
      <c r="A397" s="194">
        <v>396</v>
      </c>
      <c r="B397" s="160" t="s">
        <v>421</v>
      </c>
      <c r="C397" s="161" t="s">
        <v>1529</v>
      </c>
      <c r="D397" s="161" t="s">
        <v>1070</v>
      </c>
      <c r="E397" s="162" t="s">
        <v>2115</v>
      </c>
      <c r="F397" s="1"/>
    </row>
    <row r="398" spans="1:6" x14ac:dyDescent="0.2">
      <c r="A398" s="194">
        <v>397</v>
      </c>
      <c r="B398" s="160" t="s">
        <v>422</v>
      </c>
      <c r="C398" s="161" t="s">
        <v>418</v>
      </c>
      <c r="D398" s="161" t="s">
        <v>1070</v>
      </c>
      <c r="E398" s="162" t="s">
        <v>2115</v>
      </c>
      <c r="F398" s="1"/>
    </row>
    <row r="399" spans="1:6" x14ac:dyDescent="0.2">
      <c r="A399" s="194">
        <v>398</v>
      </c>
      <c r="B399" s="163" t="s">
        <v>2283</v>
      </c>
      <c r="C399" s="164" t="s">
        <v>2284</v>
      </c>
      <c r="D399" s="164" t="s">
        <v>1050</v>
      </c>
      <c r="E399" s="162" t="s">
        <v>2354</v>
      </c>
      <c r="F399" s="1"/>
    </row>
    <row r="400" spans="1:6" x14ac:dyDescent="0.2">
      <c r="A400" s="194">
        <v>399</v>
      </c>
      <c r="B400" s="160" t="s">
        <v>1530</v>
      </c>
      <c r="C400" s="161" t="s">
        <v>1531</v>
      </c>
      <c r="D400" s="161" t="s">
        <v>1050</v>
      </c>
      <c r="E400" s="162" t="s">
        <v>2354</v>
      </c>
      <c r="F400" s="1"/>
    </row>
    <row r="401" spans="1:6" x14ac:dyDescent="0.2">
      <c r="A401" s="194">
        <v>400</v>
      </c>
      <c r="B401" s="160" t="s">
        <v>423</v>
      </c>
      <c r="C401" s="161" t="s">
        <v>1916</v>
      </c>
      <c r="D401" s="161" t="s">
        <v>1050</v>
      </c>
      <c r="E401" s="162" t="s">
        <v>2115</v>
      </c>
      <c r="F401" s="1"/>
    </row>
    <row r="402" spans="1:6" x14ac:dyDescent="0.2">
      <c r="A402" s="194">
        <v>401</v>
      </c>
      <c r="B402" s="160" t="s">
        <v>424</v>
      </c>
      <c r="C402" s="161" t="s">
        <v>425</v>
      </c>
      <c r="D402" s="161" t="s">
        <v>1070</v>
      </c>
      <c r="E402" s="162" t="s">
        <v>2116</v>
      </c>
      <c r="F402" s="1"/>
    </row>
    <row r="403" spans="1:6" x14ac:dyDescent="0.2">
      <c r="A403" s="194">
        <v>402</v>
      </c>
      <c r="B403" s="160" t="s">
        <v>2156</v>
      </c>
      <c r="C403" s="161" t="s">
        <v>2157</v>
      </c>
      <c r="D403" s="161" t="s">
        <v>1050</v>
      </c>
      <c r="E403" s="162" t="s">
        <v>2354</v>
      </c>
      <c r="F403" s="1"/>
    </row>
    <row r="404" spans="1:6" x14ac:dyDescent="0.2">
      <c r="A404" s="194">
        <v>403</v>
      </c>
      <c r="B404" s="160" t="s">
        <v>426</v>
      </c>
      <c r="C404" s="161" t="s">
        <v>1917</v>
      </c>
      <c r="D404" s="161" t="s">
        <v>1051</v>
      </c>
      <c r="E404" s="162" t="s">
        <v>2354</v>
      </c>
      <c r="F404" s="1"/>
    </row>
    <row r="405" spans="1:6" x14ac:dyDescent="0.2">
      <c r="A405" s="194">
        <v>404</v>
      </c>
      <c r="B405" s="160" t="s">
        <v>427</v>
      </c>
      <c r="C405" s="161" t="s">
        <v>428</v>
      </c>
      <c r="D405" s="161" t="s">
        <v>1051</v>
      </c>
      <c r="E405" s="162" t="s">
        <v>2116</v>
      </c>
      <c r="F405" s="1"/>
    </row>
    <row r="406" spans="1:6" x14ac:dyDescent="0.2">
      <c r="A406" s="194">
        <v>405</v>
      </c>
      <c r="B406" s="160" t="s">
        <v>429</v>
      </c>
      <c r="C406" s="161" t="s">
        <v>1093</v>
      </c>
      <c r="D406" s="161" t="s">
        <v>1050</v>
      </c>
      <c r="E406" s="162" t="s">
        <v>2116</v>
      </c>
      <c r="F406" s="1"/>
    </row>
    <row r="407" spans="1:6" x14ac:dyDescent="0.2">
      <c r="A407" s="194">
        <v>406</v>
      </c>
      <c r="B407" s="160" t="s">
        <v>430</v>
      </c>
      <c r="C407" s="161" t="s">
        <v>2316</v>
      </c>
      <c r="D407" s="161" t="s">
        <v>1050</v>
      </c>
      <c r="E407" s="162" t="s">
        <v>2116</v>
      </c>
      <c r="F407" s="1"/>
    </row>
    <row r="408" spans="1:6" x14ac:dyDescent="0.2">
      <c r="A408" s="194">
        <v>407</v>
      </c>
      <c r="B408" s="160" t="s">
        <v>431</v>
      </c>
      <c r="C408" s="161" t="s">
        <v>432</v>
      </c>
      <c r="D408" s="161" t="s">
        <v>1051</v>
      </c>
      <c r="E408" s="162" t="s">
        <v>743</v>
      </c>
      <c r="F408" s="1"/>
    </row>
    <row r="409" spans="1:6" x14ac:dyDescent="0.2">
      <c r="A409" s="194">
        <v>408</v>
      </c>
      <c r="B409" s="160" t="s">
        <v>433</v>
      </c>
      <c r="C409" s="161" t="s">
        <v>1918</v>
      </c>
      <c r="D409" s="161" t="s">
        <v>1051</v>
      </c>
      <c r="E409" s="162" t="s">
        <v>2354</v>
      </c>
      <c r="F409" s="1"/>
    </row>
    <row r="410" spans="1:6" x14ac:dyDescent="0.2">
      <c r="A410" s="194">
        <v>409</v>
      </c>
      <c r="B410" s="160" t="s">
        <v>434</v>
      </c>
      <c r="C410" s="161" t="s">
        <v>1094</v>
      </c>
      <c r="D410" s="161" t="s">
        <v>1070</v>
      </c>
      <c r="E410" s="162" t="s">
        <v>2116</v>
      </c>
      <c r="F410" s="1"/>
    </row>
    <row r="411" spans="1:6" x14ac:dyDescent="0.2">
      <c r="A411" s="194">
        <v>410</v>
      </c>
      <c r="B411" s="160" t="s">
        <v>2158</v>
      </c>
      <c r="C411" s="161" t="s">
        <v>2159</v>
      </c>
      <c r="D411" s="161" t="s">
        <v>1050</v>
      </c>
      <c r="E411" s="162" t="s">
        <v>2116</v>
      </c>
      <c r="F411" s="1"/>
    </row>
    <row r="412" spans="1:6" x14ac:dyDescent="0.2">
      <c r="A412" s="194">
        <v>411</v>
      </c>
      <c r="B412" s="160" t="s">
        <v>435</v>
      </c>
      <c r="C412" s="161" t="s">
        <v>1532</v>
      </c>
      <c r="D412" s="161" t="s">
        <v>1070</v>
      </c>
      <c r="E412" s="162" t="s">
        <v>2115</v>
      </c>
      <c r="F412" s="1"/>
    </row>
    <row r="413" spans="1:6" x14ac:dyDescent="0.2">
      <c r="A413" s="194">
        <v>412</v>
      </c>
      <c r="B413" s="160" t="s">
        <v>1919</v>
      </c>
      <c r="C413" s="161" t="s">
        <v>436</v>
      </c>
      <c r="D413" s="161" t="s">
        <v>1070</v>
      </c>
      <c r="E413" s="162" t="s">
        <v>743</v>
      </c>
      <c r="F413" s="1"/>
    </row>
    <row r="414" spans="1:6" x14ac:dyDescent="0.2">
      <c r="A414" s="194">
        <v>413</v>
      </c>
      <c r="B414" s="160" t="s">
        <v>437</v>
      </c>
      <c r="C414" s="161" t="s">
        <v>436</v>
      </c>
      <c r="D414" s="161" t="s">
        <v>1051</v>
      </c>
      <c r="E414" s="162" t="s">
        <v>743</v>
      </c>
      <c r="F414" s="1"/>
    </row>
    <row r="415" spans="1:6" x14ac:dyDescent="0.2">
      <c r="A415" s="194">
        <v>414</v>
      </c>
      <c r="B415" s="160" t="s">
        <v>1920</v>
      </c>
      <c r="C415" s="161" t="s">
        <v>1921</v>
      </c>
      <c r="D415" s="161" t="s">
        <v>1051</v>
      </c>
      <c r="E415" s="162" t="s">
        <v>2354</v>
      </c>
      <c r="F415" s="1"/>
    </row>
    <row r="416" spans="1:6" x14ac:dyDescent="0.2">
      <c r="A416" s="194">
        <v>415</v>
      </c>
      <c r="B416" s="160" t="s">
        <v>438</v>
      </c>
      <c r="C416" s="161" t="s">
        <v>439</v>
      </c>
      <c r="D416" s="161" t="s">
        <v>1051</v>
      </c>
      <c r="E416" s="162" t="s">
        <v>2354</v>
      </c>
      <c r="F416" s="1"/>
    </row>
    <row r="417" spans="1:6" x14ac:dyDescent="0.2">
      <c r="A417" s="194">
        <v>416</v>
      </c>
      <c r="B417" s="160" t="s">
        <v>440</v>
      </c>
      <c r="C417" s="161" t="s">
        <v>1533</v>
      </c>
      <c r="D417" s="161" t="s">
        <v>1050</v>
      </c>
      <c r="E417" s="162" t="s">
        <v>2116</v>
      </c>
      <c r="F417" s="1"/>
    </row>
    <row r="418" spans="1:6" x14ac:dyDescent="0.2">
      <c r="A418" s="194">
        <v>417</v>
      </c>
      <c r="B418" s="160" t="s">
        <v>441</v>
      </c>
      <c r="C418" s="161" t="s">
        <v>442</v>
      </c>
      <c r="D418" s="161" t="s">
        <v>1051</v>
      </c>
      <c r="E418" s="162" t="s">
        <v>2115</v>
      </c>
      <c r="F418" s="1"/>
    </row>
    <row r="419" spans="1:6" x14ac:dyDescent="0.2">
      <c r="A419" s="194">
        <v>418</v>
      </c>
      <c r="B419" s="160" t="s">
        <v>443</v>
      </c>
      <c r="C419" s="161" t="s">
        <v>444</v>
      </c>
      <c r="D419" s="161" t="s">
        <v>1070</v>
      </c>
      <c r="E419" s="162" t="s">
        <v>2354</v>
      </c>
      <c r="F419" s="1"/>
    </row>
    <row r="420" spans="1:6" x14ac:dyDescent="0.2">
      <c r="A420" s="194">
        <v>419</v>
      </c>
      <c r="B420" s="160" t="s">
        <v>445</v>
      </c>
      <c r="C420" s="161" t="s">
        <v>444</v>
      </c>
      <c r="D420" s="161" t="s">
        <v>1070</v>
      </c>
      <c r="E420" s="162" t="s">
        <v>2354</v>
      </c>
      <c r="F420" s="1"/>
    </row>
    <row r="421" spans="1:6" x14ac:dyDescent="0.2">
      <c r="A421" s="194">
        <v>420</v>
      </c>
      <c r="B421" s="160" t="s">
        <v>446</v>
      </c>
      <c r="C421" s="161" t="s">
        <v>447</v>
      </c>
      <c r="D421" s="161" t="s">
        <v>1051</v>
      </c>
      <c r="E421" s="162" t="s">
        <v>2354</v>
      </c>
      <c r="F421" s="1"/>
    </row>
    <row r="422" spans="1:6" x14ac:dyDescent="0.2">
      <c r="A422" s="194">
        <v>421</v>
      </c>
      <c r="B422" s="160" t="s">
        <v>448</v>
      </c>
      <c r="C422" s="161" t="s">
        <v>449</v>
      </c>
      <c r="D422" s="161" t="s">
        <v>1070</v>
      </c>
      <c r="E422" s="162" t="s">
        <v>2115</v>
      </c>
      <c r="F422" s="1"/>
    </row>
    <row r="423" spans="1:6" x14ac:dyDescent="0.2">
      <c r="A423" s="194">
        <v>422</v>
      </c>
      <c r="B423" s="163" t="s">
        <v>2238</v>
      </c>
      <c r="C423" s="164" t="s">
        <v>2239</v>
      </c>
      <c r="D423" s="164" t="s">
        <v>1050</v>
      </c>
      <c r="E423" s="164" t="s">
        <v>2116</v>
      </c>
      <c r="F423" s="1"/>
    </row>
    <row r="424" spans="1:6" x14ac:dyDescent="0.2">
      <c r="A424" s="194">
        <v>423</v>
      </c>
      <c r="B424" s="160" t="s">
        <v>1095</v>
      </c>
      <c r="C424" s="161" t="s">
        <v>450</v>
      </c>
      <c r="D424" s="161" t="s">
        <v>1070</v>
      </c>
      <c r="E424" s="162" t="s">
        <v>2116</v>
      </c>
      <c r="F424" s="1"/>
    </row>
    <row r="425" spans="1:6" x14ac:dyDescent="0.2">
      <c r="A425" s="194">
        <v>424</v>
      </c>
      <c r="B425" s="160" t="s">
        <v>451</v>
      </c>
      <c r="C425" s="161" t="s">
        <v>452</v>
      </c>
      <c r="D425" s="161" t="s">
        <v>1050</v>
      </c>
      <c r="E425" s="162" t="s">
        <v>2354</v>
      </c>
      <c r="F425" s="1"/>
    </row>
    <row r="426" spans="1:6" x14ac:dyDescent="0.2">
      <c r="A426" s="194">
        <v>425</v>
      </c>
      <c r="B426" s="160" t="s">
        <v>1096</v>
      </c>
      <c r="C426" s="161" t="s">
        <v>453</v>
      </c>
      <c r="D426" s="161" t="s">
        <v>1051</v>
      </c>
      <c r="E426" s="162" t="s">
        <v>2115</v>
      </c>
      <c r="F426" s="1"/>
    </row>
    <row r="427" spans="1:6" x14ac:dyDescent="0.2">
      <c r="A427" s="194">
        <v>426</v>
      </c>
      <c r="B427" s="165" t="s">
        <v>2285</v>
      </c>
      <c r="C427" s="166" t="s">
        <v>2286</v>
      </c>
      <c r="D427" s="166" t="s">
        <v>1050</v>
      </c>
      <c r="E427" s="162" t="s">
        <v>2354</v>
      </c>
      <c r="F427" s="1"/>
    </row>
    <row r="428" spans="1:6" x14ac:dyDescent="0.2">
      <c r="A428" s="194">
        <v>427</v>
      </c>
      <c r="B428" s="167" t="s">
        <v>2240</v>
      </c>
      <c r="C428" s="167" t="s">
        <v>2241</v>
      </c>
      <c r="D428" s="167" t="s">
        <v>1051</v>
      </c>
      <c r="E428" s="167" t="s">
        <v>2115</v>
      </c>
      <c r="F428" s="1"/>
    </row>
    <row r="429" spans="1:6" x14ac:dyDescent="0.2">
      <c r="A429" s="194">
        <v>428</v>
      </c>
      <c r="B429" s="160" t="s">
        <v>454</v>
      </c>
      <c r="C429" s="161" t="s">
        <v>455</v>
      </c>
      <c r="D429" s="161" t="s">
        <v>1050</v>
      </c>
      <c r="E429" s="162" t="s">
        <v>2115</v>
      </c>
      <c r="F429" s="1"/>
    </row>
    <row r="430" spans="1:6" x14ac:dyDescent="0.2">
      <c r="A430" s="194">
        <v>429</v>
      </c>
      <c r="B430" s="160" t="s">
        <v>2160</v>
      </c>
      <c r="C430" s="161" t="s">
        <v>2161</v>
      </c>
      <c r="D430" s="161" t="s">
        <v>1050</v>
      </c>
      <c r="E430" s="162" t="s">
        <v>2115</v>
      </c>
      <c r="F430" s="1"/>
    </row>
    <row r="431" spans="1:6" x14ac:dyDescent="0.2">
      <c r="A431" s="194">
        <v>430</v>
      </c>
      <c r="B431" s="160" t="s">
        <v>456</v>
      </c>
      <c r="C431" s="161" t="s">
        <v>457</v>
      </c>
      <c r="D431" s="161" t="s">
        <v>1050</v>
      </c>
      <c r="E431" s="162" t="s">
        <v>2115</v>
      </c>
      <c r="F431" s="1"/>
    </row>
    <row r="432" spans="1:6" x14ac:dyDescent="0.2">
      <c r="A432" s="194">
        <v>431</v>
      </c>
      <c r="B432" s="160" t="s">
        <v>1534</v>
      </c>
      <c r="C432" s="161" t="s">
        <v>1535</v>
      </c>
      <c r="D432" s="161" t="s">
        <v>1050</v>
      </c>
      <c r="E432" s="162" t="s">
        <v>2116</v>
      </c>
      <c r="F432" s="1"/>
    </row>
    <row r="433" spans="1:6" x14ac:dyDescent="0.2">
      <c r="A433" s="194">
        <v>432</v>
      </c>
      <c r="B433" s="160" t="s">
        <v>458</v>
      </c>
      <c r="C433" s="161" t="s">
        <v>459</v>
      </c>
      <c r="D433" s="161" t="s">
        <v>1070</v>
      </c>
      <c r="E433" s="162" t="s">
        <v>743</v>
      </c>
      <c r="F433" s="1"/>
    </row>
    <row r="434" spans="1:6" x14ac:dyDescent="0.2">
      <c r="A434" s="194">
        <v>433</v>
      </c>
      <c r="B434" s="160" t="s">
        <v>460</v>
      </c>
      <c r="C434" s="161" t="s">
        <v>1536</v>
      </c>
      <c r="D434" s="161" t="s">
        <v>1050</v>
      </c>
      <c r="E434" s="162" t="s">
        <v>2115</v>
      </c>
      <c r="F434" s="1"/>
    </row>
    <row r="435" spans="1:6" x14ac:dyDescent="0.2">
      <c r="A435" s="194">
        <v>434</v>
      </c>
      <c r="B435" s="160" t="s">
        <v>2162</v>
      </c>
      <c r="C435" s="161" t="s">
        <v>2163</v>
      </c>
      <c r="D435" s="161" t="s">
        <v>1050</v>
      </c>
      <c r="E435" s="162" t="s">
        <v>2354</v>
      </c>
      <c r="F435" s="1"/>
    </row>
    <row r="436" spans="1:6" x14ac:dyDescent="0.2">
      <c r="A436" s="194">
        <v>435</v>
      </c>
      <c r="B436" s="160" t="s">
        <v>1097</v>
      </c>
      <c r="C436" s="161" t="s">
        <v>782</v>
      </c>
      <c r="D436" s="161" t="s">
        <v>1070</v>
      </c>
      <c r="E436" s="162" t="s">
        <v>2354</v>
      </c>
      <c r="F436" s="1"/>
    </row>
    <row r="437" spans="1:6" x14ac:dyDescent="0.2">
      <c r="A437" s="194">
        <v>436</v>
      </c>
      <c r="B437" s="160" t="s">
        <v>461</v>
      </c>
      <c r="C437" s="161" t="s">
        <v>462</v>
      </c>
      <c r="D437" s="161" t="s">
        <v>1050</v>
      </c>
      <c r="E437" s="162" t="s">
        <v>2115</v>
      </c>
      <c r="F437" s="1"/>
    </row>
    <row r="438" spans="1:6" x14ac:dyDescent="0.2">
      <c r="A438" s="194">
        <v>437</v>
      </c>
      <c r="B438" s="160" t="s">
        <v>463</v>
      </c>
      <c r="C438" s="161" t="s">
        <v>464</v>
      </c>
      <c r="D438" s="161" t="s">
        <v>1050</v>
      </c>
      <c r="E438" s="162" t="s">
        <v>2116</v>
      </c>
      <c r="F438" s="1"/>
    </row>
    <row r="439" spans="1:6" x14ac:dyDescent="0.2">
      <c r="A439" s="194">
        <v>438</v>
      </c>
      <c r="B439" s="160" t="s">
        <v>1922</v>
      </c>
      <c r="C439" s="161" t="s">
        <v>1923</v>
      </c>
      <c r="D439" s="161" t="s">
        <v>1050</v>
      </c>
      <c r="E439" s="162" t="s">
        <v>2116</v>
      </c>
      <c r="F439" s="1"/>
    </row>
    <row r="440" spans="1:6" x14ac:dyDescent="0.2">
      <c r="A440" s="194">
        <v>439</v>
      </c>
      <c r="B440" s="160" t="s">
        <v>465</v>
      </c>
      <c r="C440" s="161" t="s">
        <v>466</v>
      </c>
      <c r="D440" s="161" t="s">
        <v>1050</v>
      </c>
      <c r="E440" s="162" t="s">
        <v>2116</v>
      </c>
      <c r="F440" s="1"/>
    </row>
    <row r="441" spans="1:6" x14ac:dyDescent="0.2">
      <c r="A441" s="194">
        <v>440</v>
      </c>
      <c r="B441" s="160" t="s">
        <v>467</v>
      </c>
      <c r="C441" s="161" t="s">
        <v>466</v>
      </c>
      <c r="D441" s="161" t="s">
        <v>1050</v>
      </c>
      <c r="E441" s="162" t="s">
        <v>2116</v>
      </c>
      <c r="F441" s="1"/>
    </row>
    <row r="442" spans="1:6" x14ac:dyDescent="0.2">
      <c r="A442" s="194">
        <v>441</v>
      </c>
      <c r="B442" s="160" t="s">
        <v>468</v>
      </c>
      <c r="C442" s="161" t="s">
        <v>469</v>
      </c>
      <c r="D442" s="161" t="s">
        <v>1070</v>
      </c>
      <c r="E442" s="162" t="s">
        <v>2116</v>
      </c>
      <c r="F442" s="1"/>
    </row>
    <row r="443" spans="1:6" x14ac:dyDescent="0.2">
      <c r="A443" s="194">
        <v>442</v>
      </c>
      <c r="B443" s="160" t="s">
        <v>470</v>
      </c>
      <c r="C443" s="161" t="s">
        <v>1537</v>
      </c>
      <c r="D443" s="161" t="s">
        <v>1070</v>
      </c>
      <c r="E443" s="162" t="s">
        <v>696</v>
      </c>
      <c r="F443" s="1"/>
    </row>
    <row r="444" spans="1:6" x14ac:dyDescent="0.2">
      <c r="A444" s="194">
        <v>443</v>
      </c>
      <c r="B444" s="160" t="s">
        <v>471</v>
      </c>
      <c r="C444" s="161" t="s">
        <v>1098</v>
      </c>
      <c r="D444" s="161" t="s">
        <v>1050</v>
      </c>
      <c r="E444" s="162" t="s">
        <v>2116</v>
      </c>
      <c r="F444" s="1"/>
    </row>
    <row r="445" spans="1:6" x14ac:dyDescent="0.2">
      <c r="A445" s="194">
        <v>444</v>
      </c>
      <c r="B445" s="160" t="s">
        <v>472</v>
      </c>
      <c r="C445" s="161" t="s">
        <v>1098</v>
      </c>
      <c r="D445" s="161" t="s">
        <v>1050</v>
      </c>
      <c r="E445" s="162" t="s">
        <v>2116</v>
      </c>
      <c r="F445" s="1"/>
    </row>
    <row r="446" spans="1:6" x14ac:dyDescent="0.2">
      <c r="A446" s="194">
        <v>445</v>
      </c>
      <c r="B446" s="160" t="s">
        <v>1099</v>
      </c>
      <c r="C446" s="161" t="s">
        <v>1538</v>
      </c>
      <c r="D446" s="161" t="s">
        <v>1050</v>
      </c>
      <c r="E446" s="162" t="s">
        <v>2116</v>
      </c>
      <c r="F446" s="1"/>
    </row>
    <row r="447" spans="1:6" x14ac:dyDescent="0.2">
      <c r="A447" s="194">
        <v>446</v>
      </c>
      <c r="B447" s="160" t="s">
        <v>2164</v>
      </c>
      <c r="C447" s="161" t="s">
        <v>1098</v>
      </c>
      <c r="D447" s="161" t="s">
        <v>1050</v>
      </c>
      <c r="E447" s="162" t="s">
        <v>2116</v>
      </c>
      <c r="F447" s="1"/>
    </row>
    <row r="448" spans="1:6" x14ac:dyDescent="0.2">
      <c r="A448" s="194">
        <v>447</v>
      </c>
      <c r="B448" s="160" t="s">
        <v>1924</v>
      </c>
      <c r="C448" s="161" t="s">
        <v>1925</v>
      </c>
      <c r="D448" s="161" t="s">
        <v>1051</v>
      </c>
      <c r="E448" s="162" t="s">
        <v>2354</v>
      </c>
      <c r="F448" s="1"/>
    </row>
    <row r="449" spans="1:6" x14ac:dyDescent="0.2">
      <c r="A449" s="194">
        <v>448</v>
      </c>
      <c r="B449" s="160" t="s">
        <v>473</v>
      </c>
      <c r="C449" s="161" t="s">
        <v>474</v>
      </c>
      <c r="D449" s="161" t="s">
        <v>1050</v>
      </c>
      <c r="E449" s="162" t="s">
        <v>2115</v>
      </c>
      <c r="F449" s="1"/>
    </row>
    <row r="450" spans="1:6" x14ac:dyDescent="0.2">
      <c r="A450" s="194">
        <v>449</v>
      </c>
      <c r="B450" s="160" t="s">
        <v>475</v>
      </c>
      <c r="C450" s="161" t="s">
        <v>476</v>
      </c>
      <c r="D450" s="161" t="s">
        <v>1050</v>
      </c>
      <c r="E450" s="162" t="s">
        <v>2115</v>
      </c>
      <c r="F450" s="1"/>
    </row>
    <row r="451" spans="1:6" x14ac:dyDescent="0.2">
      <c r="A451" s="194">
        <v>450</v>
      </c>
      <c r="B451" s="160" t="s">
        <v>477</v>
      </c>
      <c r="C451" s="161" t="s">
        <v>478</v>
      </c>
      <c r="D451" s="161" t="s">
        <v>1070</v>
      </c>
      <c r="E451" s="162" t="s">
        <v>2116</v>
      </c>
      <c r="F451" s="1"/>
    </row>
    <row r="452" spans="1:6" x14ac:dyDescent="0.2">
      <c r="A452" s="194">
        <v>451</v>
      </c>
      <c r="B452" s="160" t="s">
        <v>479</v>
      </c>
      <c r="C452" s="161" t="s">
        <v>1100</v>
      </c>
      <c r="D452" s="161" t="s">
        <v>1051</v>
      </c>
      <c r="E452" s="162" t="s">
        <v>2116</v>
      </c>
      <c r="F452" s="1"/>
    </row>
    <row r="453" spans="1:6" x14ac:dyDescent="0.2">
      <c r="A453" s="194">
        <v>452</v>
      </c>
      <c r="B453" s="160" t="s">
        <v>480</v>
      </c>
      <c r="C453" s="161" t="s">
        <v>1926</v>
      </c>
      <c r="D453" s="161" t="s">
        <v>1050</v>
      </c>
      <c r="E453" s="162" t="s">
        <v>2116</v>
      </c>
      <c r="F453" s="1"/>
    </row>
    <row r="454" spans="1:6" x14ac:dyDescent="0.2">
      <c r="A454" s="194">
        <v>453</v>
      </c>
      <c r="B454" s="160" t="s">
        <v>481</v>
      </c>
      <c r="C454" s="161" t="s">
        <v>482</v>
      </c>
      <c r="D454" s="161" t="s">
        <v>1051</v>
      </c>
      <c r="E454" s="162" t="s">
        <v>2115</v>
      </c>
      <c r="F454" s="1"/>
    </row>
    <row r="455" spans="1:6" x14ac:dyDescent="0.2">
      <c r="A455" s="194">
        <v>454</v>
      </c>
      <c r="B455" s="160" t="s">
        <v>483</v>
      </c>
      <c r="C455" s="161" t="s">
        <v>1539</v>
      </c>
      <c r="D455" s="161" t="s">
        <v>1050</v>
      </c>
      <c r="E455" s="162" t="s">
        <v>2116</v>
      </c>
      <c r="F455" s="1"/>
    </row>
    <row r="456" spans="1:6" x14ac:dyDescent="0.2">
      <c r="A456" s="194">
        <v>455</v>
      </c>
      <c r="B456" s="160" t="s">
        <v>484</v>
      </c>
      <c r="C456" s="161" t="s">
        <v>1927</v>
      </c>
      <c r="D456" s="161" t="s">
        <v>1070</v>
      </c>
      <c r="E456" s="162" t="s">
        <v>2115</v>
      </c>
      <c r="F456" s="1"/>
    </row>
    <row r="457" spans="1:6" x14ac:dyDescent="0.2">
      <c r="A457" s="194">
        <v>456</v>
      </c>
      <c r="B457" s="160" t="s">
        <v>485</v>
      </c>
      <c r="C457" s="161" t="s">
        <v>1928</v>
      </c>
      <c r="D457" s="161" t="s">
        <v>1050</v>
      </c>
      <c r="E457" s="162" t="s">
        <v>2116</v>
      </c>
      <c r="F457" s="1"/>
    </row>
    <row r="458" spans="1:6" x14ac:dyDescent="0.2">
      <c r="A458" s="194">
        <v>457</v>
      </c>
      <c r="B458" s="160" t="s">
        <v>486</v>
      </c>
      <c r="C458" s="161" t="s">
        <v>487</v>
      </c>
      <c r="D458" s="161" t="s">
        <v>1050</v>
      </c>
      <c r="E458" s="162" t="s">
        <v>2116</v>
      </c>
      <c r="F458" s="1"/>
    </row>
    <row r="459" spans="1:6" x14ac:dyDescent="0.2">
      <c r="A459" s="194">
        <v>458</v>
      </c>
      <c r="B459" s="160" t="s">
        <v>1101</v>
      </c>
      <c r="C459" s="161" t="s">
        <v>1102</v>
      </c>
      <c r="D459" s="161" t="s">
        <v>1050</v>
      </c>
      <c r="E459" s="162" t="s">
        <v>2354</v>
      </c>
      <c r="F459" s="1"/>
    </row>
    <row r="460" spans="1:6" x14ac:dyDescent="0.2">
      <c r="A460" s="194">
        <v>459</v>
      </c>
      <c r="B460" s="160" t="s">
        <v>2165</v>
      </c>
      <c r="C460" s="161" t="s">
        <v>2166</v>
      </c>
      <c r="D460" s="161" t="s">
        <v>1050</v>
      </c>
      <c r="E460" s="162" t="s">
        <v>2354</v>
      </c>
      <c r="F460" s="1"/>
    </row>
    <row r="461" spans="1:6" x14ac:dyDescent="0.2">
      <c r="A461" s="194">
        <v>460</v>
      </c>
      <c r="B461" s="160" t="s">
        <v>2167</v>
      </c>
      <c r="C461" s="161" t="s">
        <v>488</v>
      </c>
      <c r="D461" s="161" t="s">
        <v>1050</v>
      </c>
      <c r="E461" s="162" t="s">
        <v>2115</v>
      </c>
      <c r="F461" s="1"/>
    </row>
    <row r="462" spans="1:6" x14ac:dyDescent="0.2">
      <c r="A462" s="194">
        <v>461</v>
      </c>
      <c r="B462" s="160" t="s">
        <v>2168</v>
      </c>
      <c r="C462" s="161" t="s">
        <v>2169</v>
      </c>
      <c r="D462" s="161" t="s">
        <v>1050</v>
      </c>
      <c r="E462" s="162" t="s">
        <v>2115</v>
      </c>
      <c r="F462" s="1"/>
    </row>
    <row r="463" spans="1:6" x14ac:dyDescent="0.2">
      <c r="A463" s="194">
        <v>462</v>
      </c>
      <c r="B463" s="160" t="s">
        <v>489</v>
      </c>
      <c r="C463" s="161" t="s">
        <v>490</v>
      </c>
      <c r="D463" s="161" t="s">
        <v>1051</v>
      </c>
      <c r="E463" s="162" t="s">
        <v>2321</v>
      </c>
      <c r="F463" s="1"/>
    </row>
    <row r="464" spans="1:6" x14ac:dyDescent="0.2">
      <c r="A464" s="194">
        <v>463</v>
      </c>
      <c r="B464" s="160" t="s">
        <v>491</v>
      </c>
      <c r="C464" s="161" t="s">
        <v>492</v>
      </c>
      <c r="D464" s="161" t="s">
        <v>1051</v>
      </c>
      <c r="E464" s="162" t="s">
        <v>2321</v>
      </c>
      <c r="F464" s="1"/>
    </row>
    <row r="465" spans="1:6" x14ac:dyDescent="0.2">
      <c r="A465" s="194">
        <v>464</v>
      </c>
      <c r="B465" s="160" t="s">
        <v>493</v>
      </c>
      <c r="C465" s="161" t="s">
        <v>81</v>
      </c>
      <c r="D465" s="161" t="s">
        <v>1051</v>
      </c>
      <c r="E465" s="162" t="s">
        <v>2115</v>
      </c>
      <c r="F465" s="1"/>
    </row>
    <row r="466" spans="1:6" x14ac:dyDescent="0.2">
      <c r="A466" s="194">
        <v>465</v>
      </c>
      <c r="B466" s="160" t="s">
        <v>494</v>
      </c>
      <c r="C466" s="161" t="s">
        <v>495</v>
      </c>
      <c r="D466" s="161" t="s">
        <v>1050</v>
      </c>
      <c r="E466" s="162" t="s">
        <v>2116</v>
      </c>
      <c r="F466" s="1"/>
    </row>
    <row r="467" spans="1:6" x14ac:dyDescent="0.2">
      <c r="A467" s="194">
        <v>466</v>
      </c>
      <c r="B467" s="160" t="s">
        <v>1929</v>
      </c>
      <c r="C467" s="161" t="s">
        <v>1930</v>
      </c>
      <c r="D467" s="161" t="s">
        <v>1050</v>
      </c>
      <c r="E467" s="162" t="s">
        <v>2116</v>
      </c>
      <c r="F467" s="1"/>
    </row>
    <row r="468" spans="1:6" x14ac:dyDescent="0.2">
      <c r="A468" s="194">
        <v>467</v>
      </c>
      <c r="B468" s="160" t="s">
        <v>496</v>
      </c>
      <c r="C468" s="161" t="s">
        <v>497</v>
      </c>
      <c r="D468" s="161" t="s">
        <v>1051</v>
      </c>
      <c r="E468" s="162" t="s">
        <v>2115</v>
      </c>
      <c r="F468" s="1"/>
    </row>
    <row r="469" spans="1:6" x14ac:dyDescent="0.2">
      <c r="A469" s="194">
        <v>468</v>
      </c>
      <c r="B469" s="160" t="s">
        <v>498</v>
      </c>
      <c r="C469" s="161" t="s">
        <v>498</v>
      </c>
      <c r="D469" s="161" t="s">
        <v>1050</v>
      </c>
      <c r="E469" s="162" t="s">
        <v>2115</v>
      </c>
      <c r="F469" s="1"/>
    </row>
    <row r="470" spans="1:6" x14ac:dyDescent="0.2">
      <c r="A470" s="194">
        <v>469</v>
      </c>
      <c r="B470" s="160" t="s">
        <v>499</v>
      </c>
      <c r="C470" s="161" t="s">
        <v>500</v>
      </c>
      <c r="D470" s="161" t="s">
        <v>1051</v>
      </c>
      <c r="E470" s="162" t="s">
        <v>2115</v>
      </c>
      <c r="F470" s="1"/>
    </row>
    <row r="471" spans="1:6" x14ac:dyDescent="0.2">
      <c r="A471" s="194">
        <v>470</v>
      </c>
      <c r="B471" s="160" t="s">
        <v>501</v>
      </c>
      <c r="C471" s="161" t="s">
        <v>502</v>
      </c>
      <c r="D471" s="161" t="s">
        <v>1051</v>
      </c>
      <c r="E471" s="162" t="s">
        <v>2116</v>
      </c>
      <c r="F471" s="1"/>
    </row>
    <row r="472" spans="1:6" x14ac:dyDescent="0.2">
      <c r="A472" s="194">
        <v>471</v>
      </c>
      <c r="B472" s="160" t="s">
        <v>503</v>
      </c>
      <c r="C472" s="161" t="s">
        <v>504</v>
      </c>
      <c r="D472" s="161" t="s">
        <v>1051</v>
      </c>
      <c r="E472" s="162" t="s">
        <v>2116</v>
      </c>
      <c r="F472" s="1"/>
    </row>
    <row r="473" spans="1:6" x14ac:dyDescent="0.2">
      <c r="A473" s="194">
        <v>472</v>
      </c>
      <c r="B473" s="160" t="s">
        <v>505</v>
      </c>
      <c r="C473" s="161" t="s">
        <v>1931</v>
      </c>
      <c r="D473" s="161" t="s">
        <v>1050</v>
      </c>
      <c r="E473" s="162" t="s">
        <v>2116</v>
      </c>
      <c r="F473" s="1"/>
    </row>
    <row r="474" spans="1:6" x14ac:dyDescent="0.2">
      <c r="A474" s="194">
        <v>473</v>
      </c>
      <c r="B474" s="160" t="s">
        <v>506</v>
      </c>
      <c r="C474" s="161" t="s">
        <v>507</v>
      </c>
      <c r="D474" s="161" t="s">
        <v>1050</v>
      </c>
      <c r="E474" s="162" t="s">
        <v>2115</v>
      </c>
      <c r="F474" s="1"/>
    </row>
    <row r="475" spans="1:6" x14ac:dyDescent="0.2">
      <c r="A475" s="194">
        <v>474</v>
      </c>
      <c r="B475" s="160" t="s">
        <v>1540</v>
      </c>
      <c r="C475" s="161" t="s">
        <v>507</v>
      </c>
      <c r="D475" s="161" t="s">
        <v>1050</v>
      </c>
      <c r="E475" s="162" t="s">
        <v>2115</v>
      </c>
      <c r="F475" s="1"/>
    </row>
    <row r="476" spans="1:6" x14ac:dyDescent="0.2">
      <c r="A476" s="194">
        <v>475</v>
      </c>
      <c r="B476" s="160" t="s">
        <v>508</v>
      </c>
      <c r="C476" s="161" t="s">
        <v>507</v>
      </c>
      <c r="D476" s="161" t="s">
        <v>1050</v>
      </c>
      <c r="E476" s="162" t="s">
        <v>2115</v>
      </c>
      <c r="F476" s="1"/>
    </row>
    <row r="477" spans="1:6" x14ac:dyDescent="0.2">
      <c r="A477" s="194">
        <v>476</v>
      </c>
      <c r="B477" s="160" t="s">
        <v>509</v>
      </c>
      <c r="C477" s="161" t="s">
        <v>1541</v>
      </c>
      <c r="D477" s="161" t="s">
        <v>1070</v>
      </c>
      <c r="E477" s="162" t="s">
        <v>2115</v>
      </c>
      <c r="F477" s="1"/>
    </row>
    <row r="478" spans="1:6" x14ac:dyDescent="0.2">
      <c r="A478" s="194">
        <v>477</v>
      </c>
      <c r="B478" s="160" t="s">
        <v>1932</v>
      </c>
      <c r="C478" s="161" t="s">
        <v>510</v>
      </c>
      <c r="D478" s="161" t="s">
        <v>1070</v>
      </c>
      <c r="E478" s="162" t="s">
        <v>2115</v>
      </c>
      <c r="F478" s="1"/>
    </row>
    <row r="479" spans="1:6" x14ac:dyDescent="0.2">
      <c r="A479" s="194">
        <v>478</v>
      </c>
      <c r="B479" s="160" t="s">
        <v>1103</v>
      </c>
      <c r="C479" s="161" t="s">
        <v>511</v>
      </c>
      <c r="D479" s="161" t="s">
        <v>1051</v>
      </c>
      <c r="E479" s="162" t="s">
        <v>2115</v>
      </c>
      <c r="F479" s="1"/>
    </row>
    <row r="480" spans="1:6" x14ac:dyDescent="0.2">
      <c r="A480" s="194">
        <v>479</v>
      </c>
      <c r="B480" s="160" t="s">
        <v>512</v>
      </c>
      <c r="C480" s="161" t="s">
        <v>23</v>
      </c>
      <c r="D480" s="161" t="s">
        <v>1050</v>
      </c>
      <c r="E480" s="162" t="s">
        <v>2116</v>
      </c>
      <c r="F480" s="1"/>
    </row>
    <row r="481" spans="1:6" x14ac:dyDescent="0.2">
      <c r="A481" s="194">
        <v>480</v>
      </c>
      <c r="B481" s="160" t="s">
        <v>513</v>
      </c>
      <c r="C481" s="161" t="s">
        <v>23</v>
      </c>
      <c r="D481" s="161" t="s">
        <v>1050</v>
      </c>
      <c r="E481" s="162" t="s">
        <v>2116</v>
      </c>
      <c r="F481" s="1"/>
    </row>
    <row r="482" spans="1:6" x14ac:dyDescent="0.2">
      <c r="A482" s="194">
        <v>481</v>
      </c>
      <c r="B482" s="160" t="s">
        <v>514</v>
      </c>
      <c r="C482" s="161" t="s">
        <v>1542</v>
      </c>
      <c r="D482" s="161" t="s">
        <v>1051</v>
      </c>
      <c r="E482" s="162" t="s">
        <v>2354</v>
      </c>
      <c r="F482" s="1"/>
    </row>
    <row r="483" spans="1:6" x14ac:dyDescent="0.2">
      <c r="A483" s="194">
        <v>482</v>
      </c>
      <c r="B483" s="160" t="s">
        <v>515</v>
      </c>
      <c r="C483" s="161" t="s">
        <v>516</v>
      </c>
      <c r="D483" s="161" t="s">
        <v>1050</v>
      </c>
      <c r="E483" s="162" t="s">
        <v>2116</v>
      </c>
      <c r="F483" s="1"/>
    </row>
    <row r="484" spans="1:6" x14ac:dyDescent="0.2">
      <c r="A484" s="194">
        <v>483</v>
      </c>
      <c r="B484" s="160" t="s">
        <v>517</v>
      </c>
      <c r="C484" s="161" t="s">
        <v>518</v>
      </c>
      <c r="D484" s="161" t="s">
        <v>1050</v>
      </c>
      <c r="E484" s="162" t="s">
        <v>2116</v>
      </c>
      <c r="F484" s="1"/>
    </row>
    <row r="485" spans="1:6" x14ac:dyDescent="0.2">
      <c r="A485" s="194">
        <v>484</v>
      </c>
      <c r="B485" s="160" t="s">
        <v>2170</v>
      </c>
      <c r="C485" s="161" t="s">
        <v>516</v>
      </c>
      <c r="D485" s="161" t="s">
        <v>1050</v>
      </c>
      <c r="E485" s="162" t="s">
        <v>2116</v>
      </c>
      <c r="F485" s="1"/>
    </row>
    <row r="486" spans="1:6" x14ac:dyDescent="0.2">
      <c r="A486" s="194">
        <v>485</v>
      </c>
      <c r="B486" s="160" t="s">
        <v>519</v>
      </c>
      <c r="C486" s="161" t="s">
        <v>520</v>
      </c>
      <c r="D486" s="161" t="s">
        <v>1050</v>
      </c>
      <c r="E486" s="162" t="s">
        <v>2116</v>
      </c>
      <c r="F486" s="1"/>
    </row>
    <row r="487" spans="1:6" x14ac:dyDescent="0.2">
      <c r="A487" s="194">
        <v>486</v>
      </c>
      <c r="B487" s="160" t="s">
        <v>521</v>
      </c>
      <c r="C487" s="161" t="s">
        <v>522</v>
      </c>
      <c r="D487" s="161" t="s">
        <v>1050</v>
      </c>
      <c r="E487" s="162" t="s">
        <v>2116</v>
      </c>
      <c r="F487" s="1"/>
    </row>
    <row r="488" spans="1:6" x14ac:dyDescent="0.2">
      <c r="A488" s="194">
        <v>487</v>
      </c>
      <c r="B488" s="160" t="s">
        <v>523</v>
      </c>
      <c r="C488" s="161" t="s">
        <v>1104</v>
      </c>
      <c r="D488" s="161" t="s">
        <v>1050</v>
      </c>
      <c r="E488" s="162" t="s">
        <v>2116</v>
      </c>
      <c r="F488" s="1"/>
    </row>
    <row r="489" spans="1:6" x14ac:dyDescent="0.2">
      <c r="A489" s="194">
        <v>488</v>
      </c>
      <c r="B489" s="160" t="s">
        <v>524</v>
      </c>
      <c r="C489" s="161" t="s">
        <v>525</v>
      </c>
      <c r="D489" s="161" t="s">
        <v>1051</v>
      </c>
      <c r="E489" s="162" t="s">
        <v>2116</v>
      </c>
      <c r="F489" s="1"/>
    </row>
    <row r="490" spans="1:6" x14ac:dyDescent="0.2">
      <c r="A490" s="194">
        <v>489</v>
      </c>
      <c r="B490" s="160" t="s">
        <v>526</v>
      </c>
      <c r="C490" s="161" t="s">
        <v>1543</v>
      </c>
      <c r="D490" s="161" t="s">
        <v>1050</v>
      </c>
      <c r="E490" s="162" t="s">
        <v>696</v>
      </c>
      <c r="F490" s="1"/>
    </row>
    <row r="491" spans="1:6" x14ac:dyDescent="0.2">
      <c r="A491" s="194">
        <v>490</v>
      </c>
      <c r="B491" s="160" t="s">
        <v>527</v>
      </c>
      <c r="C491" s="161" t="s">
        <v>528</v>
      </c>
      <c r="D491" s="161" t="s">
        <v>1051</v>
      </c>
      <c r="E491" s="162" t="s">
        <v>2115</v>
      </c>
      <c r="F491" s="1"/>
    </row>
    <row r="492" spans="1:6" x14ac:dyDescent="0.2">
      <c r="A492" s="194">
        <v>491</v>
      </c>
      <c r="B492" s="160" t="s">
        <v>529</v>
      </c>
      <c r="C492" s="161" t="s">
        <v>530</v>
      </c>
      <c r="D492" s="161" t="s">
        <v>1070</v>
      </c>
      <c r="E492" s="162" t="s">
        <v>2115</v>
      </c>
      <c r="F492" s="1"/>
    </row>
    <row r="493" spans="1:6" x14ac:dyDescent="0.2">
      <c r="A493" s="194">
        <v>492</v>
      </c>
      <c r="B493" s="160" t="s">
        <v>531</v>
      </c>
      <c r="C493" s="161" t="s">
        <v>532</v>
      </c>
      <c r="D493" s="161" t="s">
        <v>1051</v>
      </c>
      <c r="E493" s="162" t="s">
        <v>2115</v>
      </c>
      <c r="F493" s="1"/>
    </row>
    <row r="494" spans="1:6" x14ac:dyDescent="0.2">
      <c r="A494" s="194">
        <v>493</v>
      </c>
      <c r="B494" s="160" t="s">
        <v>533</v>
      </c>
      <c r="C494" s="161" t="s">
        <v>532</v>
      </c>
      <c r="D494" s="161" t="s">
        <v>1051</v>
      </c>
      <c r="E494" s="162" t="s">
        <v>2115</v>
      </c>
      <c r="F494" s="1"/>
    </row>
    <row r="495" spans="1:6" x14ac:dyDescent="0.2">
      <c r="A495" s="194">
        <v>494</v>
      </c>
      <c r="B495" s="160" t="s">
        <v>534</v>
      </c>
      <c r="C495" s="161" t="s">
        <v>532</v>
      </c>
      <c r="D495" s="161" t="s">
        <v>1051</v>
      </c>
      <c r="E495" s="162" t="s">
        <v>2354</v>
      </c>
      <c r="F495" s="1"/>
    </row>
    <row r="496" spans="1:6" x14ac:dyDescent="0.2">
      <c r="A496" s="194">
        <v>495</v>
      </c>
      <c r="B496" s="160" t="s">
        <v>535</v>
      </c>
      <c r="C496" s="161" t="s">
        <v>1105</v>
      </c>
      <c r="D496" s="161" t="s">
        <v>1050</v>
      </c>
      <c r="E496" s="162" t="s">
        <v>2354</v>
      </c>
      <c r="F496" s="1"/>
    </row>
    <row r="497" spans="1:6" x14ac:dyDescent="0.2">
      <c r="A497" s="194">
        <v>496</v>
      </c>
      <c r="B497" s="160" t="s">
        <v>536</v>
      </c>
      <c r="C497" s="161" t="s">
        <v>1106</v>
      </c>
      <c r="D497" s="161" t="s">
        <v>1051</v>
      </c>
      <c r="E497" s="162" t="s">
        <v>2116</v>
      </c>
      <c r="F497" s="1"/>
    </row>
    <row r="498" spans="1:6" x14ac:dyDescent="0.2">
      <c r="A498" s="194">
        <v>497</v>
      </c>
      <c r="B498" s="160" t="s">
        <v>537</v>
      </c>
      <c r="C498" s="161" t="s">
        <v>538</v>
      </c>
      <c r="D498" s="161" t="s">
        <v>1051</v>
      </c>
      <c r="E498" s="162" t="s">
        <v>2116</v>
      </c>
      <c r="F498" s="1"/>
    </row>
    <row r="499" spans="1:6" x14ac:dyDescent="0.2">
      <c r="A499" s="194">
        <v>498</v>
      </c>
      <c r="B499" s="160" t="s">
        <v>539</v>
      </c>
      <c r="C499" s="161" t="s">
        <v>540</v>
      </c>
      <c r="D499" s="161" t="s">
        <v>1051</v>
      </c>
      <c r="E499" s="162" t="s">
        <v>2116</v>
      </c>
      <c r="F499" s="1"/>
    </row>
    <row r="500" spans="1:6" x14ac:dyDescent="0.2">
      <c r="A500" s="194">
        <v>499</v>
      </c>
      <c r="B500" s="160" t="s">
        <v>541</v>
      </c>
      <c r="C500" s="161" t="s">
        <v>133</v>
      </c>
      <c r="D500" s="161" t="s">
        <v>1051</v>
      </c>
      <c r="E500" s="162" t="s">
        <v>743</v>
      </c>
      <c r="F500" s="1"/>
    </row>
    <row r="501" spans="1:6" x14ac:dyDescent="0.2">
      <c r="A501" s="194">
        <v>500</v>
      </c>
      <c r="B501" s="160" t="s">
        <v>542</v>
      </c>
      <c r="C501" s="161" t="s">
        <v>1107</v>
      </c>
      <c r="D501" s="161" t="s">
        <v>1051</v>
      </c>
      <c r="E501" s="162" t="s">
        <v>2116</v>
      </c>
      <c r="F501" s="1"/>
    </row>
    <row r="502" spans="1:6" x14ac:dyDescent="0.2">
      <c r="A502" s="194">
        <v>501</v>
      </c>
      <c r="B502" s="160" t="s">
        <v>1934</v>
      </c>
      <c r="C502" s="161" t="s">
        <v>609</v>
      </c>
      <c r="D502" s="161" t="s">
        <v>1051</v>
      </c>
      <c r="E502" s="162" t="s">
        <v>2116</v>
      </c>
      <c r="F502" s="1"/>
    </row>
    <row r="503" spans="1:6" x14ac:dyDescent="0.2">
      <c r="A503" s="194">
        <v>502</v>
      </c>
      <c r="B503" s="160" t="s">
        <v>543</v>
      </c>
      <c r="C503" s="161" t="s">
        <v>544</v>
      </c>
      <c r="D503" s="161" t="s">
        <v>1050</v>
      </c>
      <c r="E503" s="162" t="s">
        <v>2115</v>
      </c>
      <c r="F503" s="1"/>
    </row>
    <row r="504" spans="1:6" x14ac:dyDescent="0.2">
      <c r="A504" s="194">
        <v>503</v>
      </c>
      <c r="B504" s="160" t="s">
        <v>545</v>
      </c>
      <c r="C504" s="161" t="s">
        <v>546</v>
      </c>
      <c r="D504" s="161" t="s">
        <v>1050</v>
      </c>
      <c r="E504" s="162" t="s">
        <v>2354</v>
      </c>
      <c r="F504" s="1"/>
    </row>
    <row r="505" spans="1:6" x14ac:dyDescent="0.2">
      <c r="A505" s="194">
        <v>504</v>
      </c>
      <c r="B505" s="160" t="s">
        <v>1544</v>
      </c>
      <c r="C505" s="161" t="s">
        <v>1545</v>
      </c>
      <c r="D505" s="161" t="s">
        <v>1051</v>
      </c>
      <c r="E505" s="162" t="s">
        <v>2354</v>
      </c>
      <c r="F505" s="1"/>
    </row>
    <row r="506" spans="1:6" x14ac:dyDescent="0.2">
      <c r="A506" s="194">
        <v>505</v>
      </c>
      <c r="B506" s="160" t="s">
        <v>547</v>
      </c>
      <c r="C506" s="161" t="s">
        <v>548</v>
      </c>
      <c r="D506" s="161" t="s">
        <v>1051</v>
      </c>
      <c r="E506" s="162" t="s">
        <v>2321</v>
      </c>
      <c r="F506" s="1"/>
    </row>
    <row r="507" spans="1:6" x14ac:dyDescent="0.2">
      <c r="A507" s="194">
        <v>506</v>
      </c>
      <c r="B507" s="160" t="s">
        <v>1546</v>
      </c>
      <c r="C507" s="161" t="s">
        <v>1935</v>
      </c>
      <c r="D507" s="161" t="s">
        <v>1050</v>
      </c>
      <c r="E507" s="162" t="s">
        <v>2123</v>
      </c>
      <c r="F507" s="1"/>
    </row>
    <row r="508" spans="1:6" x14ac:dyDescent="0.2">
      <c r="A508" s="194">
        <v>507</v>
      </c>
      <c r="B508" s="160" t="s">
        <v>1936</v>
      </c>
      <c r="C508" s="161" t="s">
        <v>1937</v>
      </c>
      <c r="D508" s="161" t="s">
        <v>1051</v>
      </c>
      <c r="E508" s="162" t="s">
        <v>743</v>
      </c>
      <c r="F508" s="1"/>
    </row>
    <row r="509" spans="1:6" x14ac:dyDescent="0.2">
      <c r="A509" s="194">
        <v>508</v>
      </c>
      <c r="B509" s="160" t="s">
        <v>1938</v>
      </c>
      <c r="C509" s="161" t="s">
        <v>1939</v>
      </c>
      <c r="D509" s="161" t="s">
        <v>1050</v>
      </c>
      <c r="E509" s="162" t="s">
        <v>2116</v>
      </c>
      <c r="F509" s="1"/>
    </row>
    <row r="510" spans="1:6" x14ac:dyDescent="0.2">
      <c r="A510" s="194">
        <v>509</v>
      </c>
      <c r="B510" s="160" t="s">
        <v>549</v>
      </c>
      <c r="C510" s="161" t="s">
        <v>550</v>
      </c>
      <c r="D510" s="161" t="s">
        <v>1050</v>
      </c>
      <c r="E510" s="162" t="s">
        <v>2321</v>
      </c>
      <c r="F510" s="1"/>
    </row>
    <row r="511" spans="1:6" x14ac:dyDescent="0.2">
      <c r="A511" s="194">
        <v>510</v>
      </c>
      <c r="B511" s="160" t="s">
        <v>551</v>
      </c>
      <c r="C511" s="161" t="s">
        <v>552</v>
      </c>
      <c r="D511" s="161" t="s">
        <v>1050</v>
      </c>
      <c r="E511" s="162" t="s">
        <v>2116</v>
      </c>
      <c r="F511" s="1"/>
    </row>
    <row r="512" spans="1:6" x14ac:dyDescent="0.2">
      <c r="A512" s="194">
        <v>511</v>
      </c>
      <c r="B512" s="160" t="s">
        <v>553</v>
      </c>
      <c r="C512" s="161" t="s">
        <v>1108</v>
      </c>
      <c r="D512" s="161" t="s">
        <v>1050</v>
      </c>
      <c r="E512" s="162" t="s">
        <v>2116</v>
      </c>
      <c r="F512" s="1"/>
    </row>
    <row r="513" spans="1:6" x14ac:dyDescent="0.2">
      <c r="A513" s="194">
        <v>512</v>
      </c>
      <c r="B513" s="160" t="s">
        <v>2171</v>
      </c>
      <c r="C513" s="161" t="s">
        <v>1108</v>
      </c>
      <c r="D513" s="161" t="s">
        <v>1050</v>
      </c>
      <c r="E513" s="162" t="s">
        <v>2116</v>
      </c>
      <c r="F513" s="1"/>
    </row>
    <row r="514" spans="1:6" x14ac:dyDescent="0.2">
      <c r="A514" s="194">
        <v>513</v>
      </c>
      <c r="B514" s="160" t="s">
        <v>554</v>
      </c>
      <c r="C514" s="161" t="s">
        <v>1940</v>
      </c>
      <c r="D514" s="161" t="s">
        <v>1050</v>
      </c>
      <c r="E514" s="162" t="s">
        <v>2116</v>
      </c>
      <c r="F514" s="1"/>
    </row>
    <row r="515" spans="1:6" x14ac:dyDescent="0.2">
      <c r="A515" s="194">
        <v>514</v>
      </c>
      <c r="B515" s="160" t="s">
        <v>2255</v>
      </c>
      <c r="C515" s="161" t="s">
        <v>2256</v>
      </c>
      <c r="D515" s="161" t="s">
        <v>1070</v>
      </c>
      <c r="E515" s="162" t="s">
        <v>2123</v>
      </c>
      <c r="F515" s="1"/>
    </row>
    <row r="516" spans="1:6" x14ac:dyDescent="0.2">
      <c r="A516" s="194">
        <v>515</v>
      </c>
      <c r="B516" s="160" t="s">
        <v>555</v>
      </c>
      <c r="C516" s="161" t="s">
        <v>1941</v>
      </c>
      <c r="D516" s="161" t="s">
        <v>1051</v>
      </c>
      <c r="E516" s="162" t="s">
        <v>2123</v>
      </c>
      <c r="F516" s="1"/>
    </row>
    <row r="517" spans="1:6" x14ac:dyDescent="0.2">
      <c r="A517" s="194">
        <v>516</v>
      </c>
      <c r="B517" s="160" t="s">
        <v>556</v>
      </c>
      <c r="C517" s="161" t="s">
        <v>557</v>
      </c>
      <c r="D517" s="161" t="s">
        <v>1051</v>
      </c>
      <c r="E517" s="162" t="s">
        <v>2123</v>
      </c>
      <c r="F517" s="1"/>
    </row>
    <row r="518" spans="1:6" x14ac:dyDescent="0.2">
      <c r="A518" s="194">
        <v>517</v>
      </c>
      <c r="B518" s="160" t="s">
        <v>558</v>
      </c>
      <c r="C518" s="161" t="s">
        <v>559</v>
      </c>
      <c r="D518" s="161" t="s">
        <v>1050</v>
      </c>
      <c r="E518" s="162" t="s">
        <v>2354</v>
      </c>
      <c r="F518" s="1"/>
    </row>
    <row r="519" spans="1:6" x14ac:dyDescent="0.2">
      <c r="A519" s="194">
        <v>518</v>
      </c>
      <c r="B519" s="160" t="s">
        <v>1109</v>
      </c>
      <c r="C519" s="161" t="s">
        <v>1942</v>
      </c>
      <c r="D519" s="161" t="s">
        <v>1070</v>
      </c>
      <c r="E519" s="162" t="s">
        <v>2115</v>
      </c>
      <c r="F519" s="1"/>
    </row>
    <row r="520" spans="1:6" x14ac:dyDescent="0.2">
      <c r="A520" s="194">
        <v>519</v>
      </c>
      <c r="B520" s="160" t="s">
        <v>560</v>
      </c>
      <c r="C520" s="161" t="s">
        <v>561</v>
      </c>
      <c r="D520" s="161" t="s">
        <v>1070</v>
      </c>
      <c r="E520" s="162" t="s">
        <v>2115</v>
      </c>
      <c r="F520" s="1"/>
    </row>
    <row r="521" spans="1:6" x14ac:dyDescent="0.2">
      <c r="A521" s="194">
        <v>520</v>
      </c>
      <c r="B521" s="160" t="s">
        <v>562</v>
      </c>
      <c r="C521" s="161" t="s">
        <v>1943</v>
      </c>
      <c r="D521" s="161" t="s">
        <v>1050</v>
      </c>
      <c r="E521" s="162" t="s">
        <v>2116</v>
      </c>
      <c r="F521" s="1"/>
    </row>
    <row r="522" spans="1:6" x14ac:dyDescent="0.2">
      <c r="A522" s="194">
        <v>521</v>
      </c>
      <c r="B522" s="160" t="s">
        <v>563</v>
      </c>
      <c r="C522" s="161" t="s">
        <v>137</v>
      </c>
      <c r="D522" s="161" t="s">
        <v>1050</v>
      </c>
      <c r="E522" s="162" t="s">
        <v>2116</v>
      </c>
      <c r="F522" s="1"/>
    </row>
    <row r="523" spans="1:6" x14ac:dyDescent="0.2">
      <c r="A523" s="194">
        <v>522</v>
      </c>
      <c r="B523" s="160" t="s">
        <v>564</v>
      </c>
      <c r="C523" s="161" t="s">
        <v>1547</v>
      </c>
      <c r="D523" s="161" t="s">
        <v>1050</v>
      </c>
      <c r="E523" s="162" t="s">
        <v>2116</v>
      </c>
      <c r="F523" s="1"/>
    </row>
    <row r="524" spans="1:6" x14ac:dyDescent="0.2">
      <c r="A524" s="194">
        <v>523</v>
      </c>
      <c r="B524" s="160" t="s">
        <v>565</v>
      </c>
      <c r="C524" s="161" t="s">
        <v>566</v>
      </c>
      <c r="D524" s="161" t="s">
        <v>1050</v>
      </c>
      <c r="E524" s="162" t="s">
        <v>2116</v>
      </c>
      <c r="F524" s="1"/>
    </row>
    <row r="525" spans="1:6" x14ac:dyDescent="0.2">
      <c r="A525" s="194">
        <v>524</v>
      </c>
      <c r="B525" s="160" t="s">
        <v>567</v>
      </c>
      <c r="C525" s="161" t="s">
        <v>568</v>
      </c>
      <c r="D525" s="161" t="s">
        <v>1050</v>
      </c>
      <c r="E525" s="162" t="s">
        <v>2354</v>
      </c>
      <c r="F525" s="1"/>
    </row>
    <row r="526" spans="1:6" x14ac:dyDescent="0.2">
      <c r="A526" s="194">
        <v>525</v>
      </c>
      <c r="B526" s="160" t="s">
        <v>569</v>
      </c>
      <c r="C526" s="161" t="s">
        <v>570</v>
      </c>
      <c r="D526" s="161" t="s">
        <v>1051</v>
      </c>
      <c r="E526" s="162" t="s">
        <v>2321</v>
      </c>
      <c r="F526" s="1"/>
    </row>
    <row r="527" spans="1:6" x14ac:dyDescent="0.2">
      <c r="A527" s="194">
        <v>526</v>
      </c>
      <c r="B527" s="160" t="s">
        <v>571</v>
      </c>
      <c r="C527" s="161" t="s">
        <v>572</v>
      </c>
      <c r="D527" s="161" t="s">
        <v>1050</v>
      </c>
      <c r="E527" s="162" t="s">
        <v>2116</v>
      </c>
      <c r="F527" s="1"/>
    </row>
    <row r="528" spans="1:6" x14ac:dyDescent="0.2">
      <c r="A528" s="194">
        <v>527</v>
      </c>
      <c r="B528" s="160" t="s">
        <v>573</v>
      </c>
      <c r="C528" s="161" t="s">
        <v>574</v>
      </c>
      <c r="D528" s="161" t="s">
        <v>1051</v>
      </c>
      <c r="E528" s="162" t="s">
        <v>2115</v>
      </c>
      <c r="F528" s="1"/>
    </row>
    <row r="529" spans="1:6" x14ac:dyDescent="0.2">
      <c r="A529" s="194">
        <v>528</v>
      </c>
      <c r="B529" s="160" t="s">
        <v>575</v>
      </c>
      <c r="C529" s="161" t="s">
        <v>576</v>
      </c>
      <c r="D529" s="161" t="s">
        <v>1050</v>
      </c>
      <c r="E529" s="162" t="s">
        <v>2354</v>
      </c>
      <c r="F529" s="1"/>
    </row>
    <row r="530" spans="1:6" x14ac:dyDescent="0.2">
      <c r="A530" s="194">
        <v>529</v>
      </c>
      <c r="B530" s="160" t="s">
        <v>577</v>
      </c>
      <c r="C530" s="161" t="s">
        <v>1110</v>
      </c>
      <c r="D530" s="161" t="s">
        <v>1051</v>
      </c>
      <c r="E530" s="162" t="s">
        <v>2116</v>
      </c>
      <c r="F530" s="1"/>
    </row>
    <row r="531" spans="1:6" x14ac:dyDescent="0.2">
      <c r="A531" s="194">
        <v>530</v>
      </c>
      <c r="B531" s="160" t="s">
        <v>578</v>
      </c>
      <c r="C531" s="161" t="s">
        <v>1944</v>
      </c>
      <c r="D531" s="161" t="s">
        <v>1051</v>
      </c>
      <c r="E531" s="162" t="s">
        <v>2115</v>
      </c>
      <c r="F531" s="1"/>
    </row>
    <row r="532" spans="1:6" x14ac:dyDescent="0.2">
      <c r="A532" s="194">
        <v>531</v>
      </c>
      <c r="B532" s="160" t="s">
        <v>579</v>
      </c>
      <c r="C532" s="161" t="s">
        <v>580</v>
      </c>
      <c r="D532" s="161" t="s">
        <v>1051</v>
      </c>
      <c r="E532" s="162" t="s">
        <v>2115</v>
      </c>
      <c r="F532" s="1"/>
    </row>
    <row r="533" spans="1:6" x14ac:dyDescent="0.2">
      <c r="A533" s="194">
        <v>532</v>
      </c>
      <c r="B533" s="160" t="s">
        <v>581</v>
      </c>
      <c r="C533" s="161" t="s">
        <v>582</v>
      </c>
      <c r="D533" s="161" t="s">
        <v>1051</v>
      </c>
      <c r="E533" s="162" t="s">
        <v>2116</v>
      </c>
      <c r="F533" s="1"/>
    </row>
    <row r="534" spans="1:6" x14ac:dyDescent="0.2">
      <c r="A534" s="194">
        <v>533</v>
      </c>
      <c r="B534" s="160" t="s">
        <v>583</v>
      </c>
      <c r="C534" s="161" t="s">
        <v>1945</v>
      </c>
      <c r="D534" s="161" t="s">
        <v>1050</v>
      </c>
      <c r="E534" s="162" t="s">
        <v>2116</v>
      </c>
      <c r="F534" s="1"/>
    </row>
    <row r="535" spans="1:6" x14ac:dyDescent="0.2">
      <c r="A535" s="194">
        <v>534</v>
      </c>
      <c r="B535" s="160" t="s">
        <v>2172</v>
      </c>
      <c r="C535" s="161" t="s">
        <v>2173</v>
      </c>
      <c r="D535" s="161" t="s">
        <v>1050</v>
      </c>
      <c r="E535" s="162" t="s">
        <v>2116</v>
      </c>
      <c r="F535" s="1"/>
    </row>
    <row r="536" spans="1:6" x14ac:dyDescent="0.2">
      <c r="A536" s="194">
        <v>535</v>
      </c>
      <c r="B536" s="160" t="s">
        <v>584</v>
      </c>
      <c r="C536" s="161" t="s">
        <v>1548</v>
      </c>
      <c r="D536" s="161" t="s">
        <v>1050</v>
      </c>
      <c r="E536" s="162" t="s">
        <v>2116</v>
      </c>
      <c r="F536" s="1"/>
    </row>
    <row r="537" spans="1:6" x14ac:dyDescent="0.2">
      <c r="A537" s="194">
        <v>536</v>
      </c>
      <c r="B537" s="168" t="s">
        <v>585</v>
      </c>
      <c r="C537" s="169" t="s">
        <v>586</v>
      </c>
      <c r="D537" s="169" t="s">
        <v>1050</v>
      </c>
      <c r="E537" s="162" t="s">
        <v>2354</v>
      </c>
      <c r="F537" s="1"/>
    </row>
    <row r="538" spans="1:6" x14ac:dyDescent="0.2">
      <c r="A538" s="194">
        <v>537</v>
      </c>
      <c r="B538" s="160" t="s">
        <v>1111</v>
      </c>
      <c r="C538" s="161" t="s">
        <v>587</v>
      </c>
      <c r="D538" s="161" t="s">
        <v>1070</v>
      </c>
      <c r="E538" s="162" t="s">
        <v>2115</v>
      </c>
      <c r="F538" s="1"/>
    </row>
    <row r="539" spans="1:6" x14ac:dyDescent="0.2">
      <c r="A539" s="194">
        <v>538</v>
      </c>
      <c r="B539" s="160" t="s">
        <v>1112</v>
      </c>
      <c r="C539" s="161" t="s">
        <v>1113</v>
      </c>
      <c r="D539" s="161" t="s">
        <v>1050</v>
      </c>
      <c r="E539" s="162" t="s">
        <v>2354</v>
      </c>
      <c r="F539" s="1"/>
    </row>
    <row r="540" spans="1:6" x14ac:dyDescent="0.2">
      <c r="A540" s="194">
        <v>539</v>
      </c>
      <c r="B540" s="160" t="s">
        <v>588</v>
      </c>
      <c r="C540" s="161" t="s">
        <v>589</v>
      </c>
      <c r="D540" s="161" t="s">
        <v>1050</v>
      </c>
      <c r="E540" s="162" t="s">
        <v>2354</v>
      </c>
      <c r="F540" s="1"/>
    </row>
    <row r="541" spans="1:6" x14ac:dyDescent="0.2">
      <c r="A541" s="194">
        <v>540</v>
      </c>
      <c r="B541" s="160" t="s">
        <v>2174</v>
      </c>
      <c r="C541" s="161" t="s">
        <v>2175</v>
      </c>
      <c r="D541" s="161" t="s">
        <v>1050</v>
      </c>
      <c r="E541" s="162" t="s">
        <v>2354</v>
      </c>
      <c r="F541" s="1"/>
    </row>
    <row r="542" spans="1:6" x14ac:dyDescent="0.2">
      <c r="A542" s="194">
        <v>541</v>
      </c>
      <c r="B542" s="160" t="s">
        <v>1114</v>
      </c>
      <c r="C542" s="161" t="s">
        <v>1115</v>
      </c>
      <c r="D542" s="161" t="s">
        <v>1050</v>
      </c>
      <c r="E542" s="162" t="s">
        <v>2354</v>
      </c>
      <c r="F542" s="1"/>
    </row>
    <row r="543" spans="1:6" x14ac:dyDescent="0.2">
      <c r="A543" s="194">
        <v>542</v>
      </c>
      <c r="B543" s="160" t="s">
        <v>1116</v>
      </c>
      <c r="C543" s="161" t="s">
        <v>590</v>
      </c>
      <c r="D543" s="161" t="s">
        <v>1070</v>
      </c>
      <c r="E543" s="162" t="s">
        <v>2115</v>
      </c>
      <c r="F543" s="1"/>
    </row>
    <row r="544" spans="1:6" x14ac:dyDescent="0.2">
      <c r="A544" s="194">
        <v>543</v>
      </c>
      <c r="B544" s="160" t="s">
        <v>1549</v>
      </c>
      <c r="C544" s="161" t="s">
        <v>1550</v>
      </c>
      <c r="D544" s="161" t="s">
        <v>1050</v>
      </c>
      <c r="E544" s="162" t="s">
        <v>2354</v>
      </c>
      <c r="F544" s="1"/>
    </row>
    <row r="545" spans="1:6" x14ac:dyDescent="0.2">
      <c r="A545" s="194">
        <v>544</v>
      </c>
      <c r="B545" s="160" t="s">
        <v>591</v>
      </c>
      <c r="C545" s="161" t="s">
        <v>1946</v>
      </c>
      <c r="D545" s="161" t="s">
        <v>1070</v>
      </c>
      <c r="E545" s="162" t="s">
        <v>743</v>
      </c>
      <c r="F545" s="1"/>
    </row>
    <row r="546" spans="1:6" x14ac:dyDescent="0.2">
      <c r="A546" s="194">
        <v>545</v>
      </c>
      <c r="B546" s="160" t="s">
        <v>1947</v>
      </c>
      <c r="C546" s="161" t="s">
        <v>592</v>
      </c>
      <c r="D546" s="161" t="s">
        <v>1070</v>
      </c>
      <c r="E546" s="162" t="s">
        <v>2123</v>
      </c>
      <c r="F546" s="1"/>
    </row>
    <row r="547" spans="1:6" x14ac:dyDescent="0.2">
      <c r="A547" s="194">
        <v>546</v>
      </c>
      <c r="B547" s="160" t="s">
        <v>593</v>
      </c>
      <c r="C547" s="161" t="s">
        <v>594</v>
      </c>
      <c r="D547" s="161" t="s">
        <v>1051</v>
      </c>
      <c r="E547" s="162" t="s">
        <v>2321</v>
      </c>
      <c r="F547" s="1"/>
    </row>
    <row r="548" spans="1:6" x14ac:dyDescent="0.2">
      <c r="A548" s="194">
        <v>547</v>
      </c>
      <c r="B548" s="160" t="s">
        <v>595</v>
      </c>
      <c r="C548" s="161" t="s">
        <v>596</v>
      </c>
      <c r="D548" s="161" t="s">
        <v>1070</v>
      </c>
      <c r="E548" s="162" t="s">
        <v>2115</v>
      </c>
      <c r="F548" s="1"/>
    </row>
    <row r="549" spans="1:6" x14ac:dyDescent="0.2">
      <c r="A549" s="194">
        <v>548</v>
      </c>
      <c r="B549" s="160" t="s">
        <v>1948</v>
      </c>
      <c r="C549" s="161" t="s">
        <v>625</v>
      </c>
      <c r="D549" s="161" t="s">
        <v>1070</v>
      </c>
      <c r="E549" s="162" t="s">
        <v>2116</v>
      </c>
      <c r="F549" s="1"/>
    </row>
    <row r="550" spans="1:6" x14ac:dyDescent="0.2">
      <c r="A550" s="194">
        <v>549</v>
      </c>
      <c r="B550" s="160" t="s">
        <v>597</v>
      </c>
      <c r="C550" s="161" t="s">
        <v>598</v>
      </c>
      <c r="D550" s="161" t="s">
        <v>1050</v>
      </c>
      <c r="E550" s="162" t="s">
        <v>2115</v>
      </c>
      <c r="F550" s="1"/>
    </row>
    <row r="551" spans="1:6" x14ac:dyDescent="0.2">
      <c r="A551" s="194">
        <v>550</v>
      </c>
      <c r="B551" s="160" t="s">
        <v>599</v>
      </c>
      <c r="C551" s="161" t="s">
        <v>600</v>
      </c>
      <c r="D551" s="161" t="s">
        <v>1050</v>
      </c>
      <c r="E551" s="162" t="s">
        <v>2116</v>
      </c>
      <c r="F551" s="1"/>
    </row>
    <row r="552" spans="1:6" x14ac:dyDescent="0.2">
      <c r="A552" s="194">
        <v>551</v>
      </c>
      <c r="B552" s="160" t="s">
        <v>1949</v>
      </c>
      <c r="C552" s="161" t="s">
        <v>601</v>
      </c>
      <c r="D552" s="161" t="s">
        <v>1051</v>
      </c>
      <c r="E552" s="162" t="s">
        <v>2321</v>
      </c>
      <c r="F552" s="1"/>
    </row>
    <row r="553" spans="1:6" x14ac:dyDescent="0.2">
      <c r="A553" s="194">
        <v>552</v>
      </c>
      <c r="B553" s="160" t="s">
        <v>602</v>
      </c>
      <c r="C553" s="161" t="s">
        <v>603</v>
      </c>
      <c r="D553" s="161" t="s">
        <v>1051</v>
      </c>
      <c r="E553" s="162" t="s">
        <v>2115</v>
      </c>
      <c r="F553" s="1"/>
    </row>
    <row r="554" spans="1:6" x14ac:dyDescent="0.2">
      <c r="A554" s="194">
        <v>553</v>
      </c>
      <c r="B554" s="160" t="s">
        <v>1551</v>
      </c>
      <c r="C554" s="161" t="s">
        <v>1552</v>
      </c>
      <c r="D554" s="161" t="s">
        <v>1050</v>
      </c>
      <c r="E554" s="162" t="s">
        <v>696</v>
      </c>
      <c r="F554" s="1"/>
    </row>
    <row r="555" spans="1:6" x14ac:dyDescent="0.2">
      <c r="A555" s="194">
        <v>554</v>
      </c>
      <c r="B555" s="160" t="s">
        <v>1117</v>
      </c>
      <c r="C555" s="161" t="s">
        <v>1118</v>
      </c>
      <c r="D555" s="161" t="s">
        <v>1051</v>
      </c>
      <c r="E555" s="162" t="s">
        <v>2115</v>
      </c>
      <c r="F555" s="1"/>
    </row>
    <row r="556" spans="1:6" x14ac:dyDescent="0.2">
      <c r="A556" s="194">
        <v>555</v>
      </c>
      <c r="B556" s="160" t="s">
        <v>605</v>
      </c>
      <c r="C556" s="161" t="s">
        <v>606</v>
      </c>
      <c r="D556" s="161" t="s">
        <v>1050</v>
      </c>
      <c r="E556" s="162" t="s">
        <v>2116</v>
      </c>
      <c r="F556" s="1"/>
    </row>
    <row r="557" spans="1:6" x14ac:dyDescent="0.2">
      <c r="A557" s="194">
        <v>556</v>
      </c>
      <c r="B557" s="160" t="s">
        <v>607</v>
      </c>
      <c r="C557" s="161" t="s">
        <v>606</v>
      </c>
      <c r="D557" s="161" t="s">
        <v>1050</v>
      </c>
      <c r="E557" s="162" t="s">
        <v>2116</v>
      </c>
      <c r="F557" s="1"/>
    </row>
    <row r="558" spans="1:6" x14ac:dyDescent="0.2">
      <c r="A558" s="194">
        <v>557</v>
      </c>
      <c r="B558" s="160" t="s">
        <v>2176</v>
      </c>
      <c r="C558" s="161" t="s">
        <v>606</v>
      </c>
      <c r="D558" s="161" t="s">
        <v>1050</v>
      </c>
      <c r="E558" s="162" t="s">
        <v>2116</v>
      </c>
      <c r="F558" s="1"/>
    </row>
    <row r="559" spans="1:6" x14ac:dyDescent="0.2">
      <c r="A559" s="194">
        <v>558</v>
      </c>
      <c r="B559" s="160" t="s">
        <v>608</v>
      </c>
      <c r="C559" s="161" t="s">
        <v>1950</v>
      </c>
      <c r="D559" s="161" t="s">
        <v>1051</v>
      </c>
      <c r="E559" s="162" t="s">
        <v>2115</v>
      </c>
      <c r="F559" s="1"/>
    </row>
    <row r="560" spans="1:6" x14ac:dyDescent="0.2">
      <c r="A560" s="194">
        <v>559</v>
      </c>
      <c r="B560" s="160" t="s">
        <v>610</v>
      </c>
      <c r="C560" s="161" t="s">
        <v>611</v>
      </c>
      <c r="D560" s="161" t="s">
        <v>1051</v>
      </c>
      <c r="E560" s="162" t="s">
        <v>2115</v>
      </c>
      <c r="F560" s="1"/>
    </row>
    <row r="561" spans="1:6" x14ac:dyDescent="0.2">
      <c r="A561" s="194">
        <v>560</v>
      </c>
      <c r="B561" s="160" t="s">
        <v>1119</v>
      </c>
      <c r="C561" s="161" t="s">
        <v>1951</v>
      </c>
      <c r="D561" s="161" t="s">
        <v>1070</v>
      </c>
      <c r="E561" s="162" t="s">
        <v>2115</v>
      </c>
      <c r="F561" s="1"/>
    </row>
    <row r="562" spans="1:6" x14ac:dyDescent="0.2">
      <c r="A562" s="194">
        <v>561</v>
      </c>
      <c r="B562" s="160" t="s">
        <v>612</v>
      </c>
      <c r="C562" s="161" t="s">
        <v>613</v>
      </c>
      <c r="D562" s="161" t="s">
        <v>1070</v>
      </c>
      <c r="E562" s="162" t="s">
        <v>2115</v>
      </c>
      <c r="F562" s="1"/>
    </row>
    <row r="563" spans="1:6" x14ac:dyDescent="0.2">
      <c r="A563" s="194">
        <v>562</v>
      </c>
      <c r="B563" s="160" t="s">
        <v>614</v>
      </c>
      <c r="C563" s="161" t="s">
        <v>615</v>
      </c>
      <c r="D563" s="161" t="s">
        <v>1051</v>
      </c>
      <c r="E563" s="162" t="s">
        <v>2116</v>
      </c>
      <c r="F563" s="1"/>
    </row>
    <row r="564" spans="1:6" x14ac:dyDescent="0.2">
      <c r="A564" s="194">
        <v>563</v>
      </c>
      <c r="B564" s="160" t="s">
        <v>1120</v>
      </c>
      <c r="C564" s="161" t="s">
        <v>1952</v>
      </c>
      <c r="D564" s="161" t="s">
        <v>1070</v>
      </c>
      <c r="E564" s="162" t="s">
        <v>2116</v>
      </c>
      <c r="F564" s="1"/>
    </row>
    <row r="565" spans="1:6" x14ac:dyDescent="0.2">
      <c r="A565" s="194">
        <v>564</v>
      </c>
      <c r="B565" s="160" t="s">
        <v>616</v>
      </c>
      <c r="C565" s="161" t="s">
        <v>617</v>
      </c>
      <c r="D565" s="161" t="s">
        <v>1051</v>
      </c>
      <c r="E565" s="162" t="s">
        <v>2115</v>
      </c>
      <c r="F565" s="1"/>
    </row>
    <row r="566" spans="1:6" x14ac:dyDescent="0.2">
      <c r="A566" s="194">
        <v>565</v>
      </c>
      <c r="B566" s="160" t="s">
        <v>618</v>
      </c>
      <c r="C566" s="161" t="s">
        <v>619</v>
      </c>
      <c r="D566" s="161" t="s">
        <v>1070</v>
      </c>
      <c r="E566" s="162" t="s">
        <v>2115</v>
      </c>
      <c r="F566" s="1"/>
    </row>
    <row r="567" spans="1:6" x14ac:dyDescent="0.2">
      <c r="A567" s="194">
        <v>566</v>
      </c>
      <c r="B567" s="160" t="s">
        <v>620</v>
      </c>
      <c r="C567" s="161" t="s">
        <v>621</v>
      </c>
      <c r="D567" s="161" t="s">
        <v>1051</v>
      </c>
      <c r="E567" s="162" t="s">
        <v>2116</v>
      </c>
      <c r="F567" s="1"/>
    </row>
    <row r="568" spans="1:6" x14ac:dyDescent="0.2">
      <c r="A568" s="194">
        <v>567</v>
      </c>
      <c r="B568" s="163" t="s">
        <v>2257</v>
      </c>
      <c r="C568" s="164" t="s">
        <v>2258</v>
      </c>
      <c r="D568" s="164" t="s">
        <v>1051</v>
      </c>
      <c r="E568" s="164" t="s">
        <v>2115</v>
      </c>
      <c r="F568" s="1"/>
    </row>
    <row r="569" spans="1:6" x14ac:dyDescent="0.2">
      <c r="A569" s="194">
        <v>568</v>
      </c>
      <c r="B569" s="160" t="s">
        <v>1121</v>
      </c>
      <c r="C569" s="161" t="s">
        <v>1953</v>
      </c>
      <c r="D569" s="161" t="s">
        <v>1070</v>
      </c>
      <c r="E569" s="162" t="s">
        <v>2115</v>
      </c>
      <c r="F569" s="1"/>
    </row>
    <row r="570" spans="1:6" x14ac:dyDescent="0.2">
      <c r="A570" s="194">
        <v>569</v>
      </c>
      <c r="B570" s="160" t="s">
        <v>622</v>
      </c>
      <c r="C570" s="161" t="s">
        <v>615</v>
      </c>
      <c r="D570" s="161" t="s">
        <v>1051</v>
      </c>
      <c r="E570" s="162" t="s">
        <v>2116</v>
      </c>
      <c r="F570" s="1"/>
    </row>
    <row r="571" spans="1:6" x14ac:dyDescent="0.2">
      <c r="A571" s="194">
        <v>570</v>
      </c>
      <c r="B571" s="160" t="s">
        <v>1122</v>
      </c>
      <c r="C571" s="161" t="s">
        <v>1553</v>
      </c>
      <c r="D571" s="161" t="s">
        <v>1070</v>
      </c>
      <c r="E571" s="162" t="s">
        <v>2115</v>
      </c>
      <c r="F571" s="1"/>
    </row>
    <row r="572" spans="1:6" x14ac:dyDescent="0.2">
      <c r="A572" s="194">
        <v>571</v>
      </c>
      <c r="B572" s="160" t="s">
        <v>623</v>
      </c>
      <c r="C572" s="161" t="s">
        <v>1954</v>
      </c>
      <c r="D572" s="161" t="s">
        <v>1070</v>
      </c>
      <c r="E572" s="162" t="s">
        <v>2116</v>
      </c>
      <c r="F572" s="1"/>
    </row>
    <row r="573" spans="1:6" x14ac:dyDescent="0.2">
      <c r="A573" s="194">
        <v>572</v>
      </c>
      <c r="B573" s="160" t="s">
        <v>624</v>
      </c>
      <c r="C573" s="161" t="s">
        <v>1955</v>
      </c>
      <c r="D573" s="161" t="s">
        <v>1070</v>
      </c>
      <c r="E573" s="162" t="s">
        <v>2115</v>
      </c>
      <c r="F573" s="1"/>
    </row>
    <row r="574" spans="1:6" x14ac:dyDescent="0.2">
      <c r="A574" s="194">
        <v>573</v>
      </c>
      <c r="B574" s="160" t="s">
        <v>2177</v>
      </c>
      <c r="C574" s="161" t="s">
        <v>2178</v>
      </c>
      <c r="D574" s="161" t="s">
        <v>1070</v>
      </c>
      <c r="E574" s="162" t="s">
        <v>2116</v>
      </c>
      <c r="F574" s="1"/>
    </row>
    <row r="575" spans="1:6" x14ac:dyDescent="0.2">
      <c r="A575" s="194">
        <v>574</v>
      </c>
      <c r="B575" s="160" t="s">
        <v>626</v>
      </c>
      <c r="C575" s="161" t="s">
        <v>627</v>
      </c>
      <c r="D575" s="161" t="s">
        <v>1051</v>
      </c>
      <c r="E575" s="162" t="s">
        <v>2115</v>
      </c>
      <c r="F575" s="1"/>
    </row>
    <row r="576" spans="1:6" x14ac:dyDescent="0.2">
      <c r="A576" s="194">
        <v>575</v>
      </c>
      <c r="B576" s="160" t="s">
        <v>628</v>
      </c>
      <c r="C576" s="161" t="s">
        <v>629</v>
      </c>
      <c r="D576" s="161" t="s">
        <v>1050</v>
      </c>
      <c r="E576" s="162" t="s">
        <v>2115</v>
      </c>
      <c r="F576" s="1"/>
    </row>
    <row r="577" spans="1:6" x14ac:dyDescent="0.2">
      <c r="A577" s="194">
        <v>576</v>
      </c>
      <c r="B577" s="160" t="s">
        <v>2362</v>
      </c>
      <c r="C577" s="160" t="s">
        <v>2362</v>
      </c>
      <c r="D577" s="161" t="s">
        <v>1051</v>
      </c>
      <c r="E577" s="162" t="s">
        <v>2116</v>
      </c>
      <c r="F577" s="1"/>
    </row>
    <row r="578" spans="1:6" x14ac:dyDescent="0.2">
      <c r="A578" s="194">
        <v>577</v>
      </c>
      <c r="B578" s="160" t="s">
        <v>2179</v>
      </c>
      <c r="C578" s="161" t="s">
        <v>2180</v>
      </c>
      <c r="D578" s="161" t="s">
        <v>1050</v>
      </c>
      <c r="E578" s="162" t="s">
        <v>2115</v>
      </c>
      <c r="F578" s="1"/>
    </row>
    <row r="579" spans="1:6" x14ac:dyDescent="0.2">
      <c r="A579" s="194">
        <v>578</v>
      </c>
      <c r="B579" s="160" t="s">
        <v>630</v>
      </c>
      <c r="C579" s="161" t="s">
        <v>913</v>
      </c>
      <c r="D579" s="161" t="s">
        <v>1051</v>
      </c>
      <c r="E579" s="162" t="s">
        <v>2354</v>
      </c>
      <c r="F579" s="1"/>
    </row>
    <row r="580" spans="1:6" x14ac:dyDescent="0.2">
      <c r="A580" s="194">
        <v>579</v>
      </c>
      <c r="B580" s="160" t="s">
        <v>631</v>
      </c>
      <c r="C580" s="161" t="s">
        <v>632</v>
      </c>
      <c r="D580" s="161" t="s">
        <v>1070</v>
      </c>
      <c r="E580" s="162" t="s">
        <v>2123</v>
      </c>
      <c r="F580" s="1"/>
    </row>
    <row r="581" spans="1:6" x14ac:dyDescent="0.2">
      <c r="A581" s="194">
        <v>580</v>
      </c>
      <c r="B581" s="160" t="s">
        <v>1956</v>
      </c>
      <c r="C581" s="161" t="s">
        <v>633</v>
      </c>
      <c r="D581" s="161" t="s">
        <v>1070</v>
      </c>
      <c r="E581" s="162" t="s">
        <v>2123</v>
      </c>
      <c r="F581" s="1"/>
    </row>
    <row r="582" spans="1:6" x14ac:dyDescent="0.2">
      <c r="A582" s="194">
        <v>581</v>
      </c>
      <c r="B582" s="160" t="s">
        <v>634</v>
      </c>
      <c r="C582" s="161" t="s">
        <v>1554</v>
      </c>
      <c r="D582" s="161" t="s">
        <v>1050</v>
      </c>
      <c r="E582" s="162" t="s">
        <v>2115</v>
      </c>
      <c r="F582" s="1"/>
    </row>
    <row r="583" spans="1:6" x14ac:dyDescent="0.2">
      <c r="A583" s="194">
        <v>582</v>
      </c>
      <c r="B583" s="160" t="s">
        <v>1957</v>
      </c>
      <c r="C583" s="161" t="s">
        <v>1958</v>
      </c>
      <c r="D583" s="161" t="s">
        <v>1070</v>
      </c>
      <c r="E583" s="162" t="s">
        <v>2115</v>
      </c>
      <c r="F583" s="1"/>
    </row>
    <row r="584" spans="1:6" x14ac:dyDescent="0.2">
      <c r="A584" s="194">
        <v>583</v>
      </c>
      <c r="B584" s="160" t="s">
        <v>635</v>
      </c>
      <c r="C584" s="161" t="s">
        <v>2318</v>
      </c>
      <c r="D584" s="161" t="s">
        <v>1070</v>
      </c>
      <c r="E584" s="162" t="s">
        <v>2354</v>
      </c>
      <c r="F584" s="1"/>
    </row>
    <row r="585" spans="1:6" x14ac:dyDescent="0.2">
      <c r="A585" s="194">
        <v>584</v>
      </c>
      <c r="B585" s="160" t="s">
        <v>636</v>
      </c>
      <c r="C585" s="161" t="s">
        <v>637</v>
      </c>
      <c r="D585" s="161" t="s">
        <v>1070</v>
      </c>
      <c r="E585" s="162" t="s">
        <v>2116</v>
      </c>
      <c r="F585" s="1"/>
    </row>
    <row r="586" spans="1:6" x14ac:dyDescent="0.2">
      <c r="A586" s="194">
        <v>585</v>
      </c>
      <c r="B586" s="160" t="s">
        <v>638</v>
      </c>
      <c r="C586" s="161" t="s">
        <v>1555</v>
      </c>
      <c r="D586" s="161" t="s">
        <v>1051</v>
      </c>
      <c r="E586" s="162" t="s">
        <v>2116</v>
      </c>
      <c r="F586" s="1"/>
    </row>
    <row r="587" spans="1:6" x14ac:dyDescent="0.2">
      <c r="A587" s="194">
        <v>586</v>
      </c>
      <c r="B587" s="160" t="s">
        <v>639</v>
      </c>
      <c r="C587" s="161" t="s">
        <v>640</v>
      </c>
      <c r="D587" s="161" t="s">
        <v>1051</v>
      </c>
      <c r="E587" s="162" t="s">
        <v>2116</v>
      </c>
      <c r="F587" s="1"/>
    </row>
    <row r="588" spans="1:6" x14ac:dyDescent="0.2">
      <c r="A588" s="194">
        <v>587</v>
      </c>
      <c r="B588" s="160" t="s">
        <v>641</v>
      </c>
      <c r="C588" s="161" t="s">
        <v>1959</v>
      </c>
      <c r="D588" s="161" t="s">
        <v>1051</v>
      </c>
      <c r="E588" s="162" t="s">
        <v>2116</v>
      </c>
      <c r="F588" s="1"/>
    </row>
    <row r="589" spans="1:6" x14ac:dyDescent="0.2">
      <c r="A589" s="194">
        <v>588</v>
      </c>
      <c r="B589" s="160" t="s">
        <v>642</v>
      </c>
      <c r="C589" s="161" t="s">
        <v>1960</v>
      </c>
      <c r="D589" s="161" t="s">
        <v>1051</v>
      </c>
      <c r="E589" s="162" t="s">
        <v>2116</v>
      </c>
      <c r="F589" s="1"/>
    </row>
    <row r="590" spans="1:6" x14ac:dyDescent="0.2">
      <c r="A590" s="194">
        <v>589</v>
      </c>
      <c r="B590" s="160" t="s">
        <v>643</v>
      </c>
      <c r="C590" s="161" t="s">
        <v>644</v>
      </c>
      <c r="D590" s="161" t="s">
        <v>1070</v>
      </c>
      <c r="E590" s="162" t="s">
        <v>2116</v>
      </c>
      <c r="F590" s="1"/>
    </row>
    <row r="591" spans="1:6" x14ac:dyDescent="0.2">
      <c r="A591" s="194">
        <v>590</v>
      </c>
      <c r="B591" s="160" t="s">
        <v>1123</v>
      </c>
      <c r="C591" s="161" t="s">
        <v>1124</v>
      </c>
      <c r="D591" s="161" t="s">
        <v>1051</v>
      </c>
      <c r="E591" s="162" t="s">
        <v>2116</v>
      </c>
      <c r="F591" s="1"/>
    </row>
    <row r="592" spans="1:6" x14ac:dyDescent="0.2">
      <c r="A592" s="194">
        <v>591</v>
      </c>
      <c r="B592" s="160" t="s">
        <v>645</v>
      </c>
      <c r="C592" s="161" t="s">
        <v>646</v>
      </c>
      <c r="D592" s="161" t="s">
        <v>1070</v>
      </c>
      <c r="E592" s="162" t="s">
        <v>2116</v>
      </c>
      <c r="F592" s="1"/>
    </row>
    <row r="593" spans="1:6" x14ac:dyDescent="0.2">
      <c r="A593" s="194">
        <v>592</v>
      </c>
      <c r="B593" s="160" t="s">
        <v>647</v>
      </c>
      <c r="C593" s="161" t="s">
        <v>1961</v>
      </c>
      <c r="D593" s="161" t="s">
        <v>1051</v>
      </c>
      <c r="E593" s="162" t="s">
        <v>2116</v>
      </c>
      <c r="F593" s="1"/>
    </row>
    <row r="594" spans="1:6" x14ac:dyDescent="0.2">
      <c r="A594" s="194">
        <v>593</v>
      </c>
      <c r="B594" s="160" t="s">
        <v>648</v>
      </c>
      <c r="C594" s="161" t="s">
        <v>649</v>
      </c>
      <c r="D594" s="161" t="s">
        <v>1051</v>
      </c>
      <c r="E594" s="162" t="s">
        <v>2116</v>
      </c>
      <c r="F594" s="1"/>
    </row>
    <row r="595" spans="1:6" x14ac:dyDescent="0.2">
      <c r="A595" s="194">
        <v>594</v>
      </c>
      <c r="B595" s="160" t="s">
        <v>650</v>
      </c>
      <c r="C595" s="161" t="s">
        <v>651</v>
      </c>
      <c r="D595" s="161" t="s">
        <v>1051</v>
      </c>
      <c r="E595" s="162" t="s">
        <v>2116</v>
      </c>
      <c r="F595" s="1"/>
    </row>
    <row r="596" spans="1:6" x14ac:dyDescent="0.2">
      <c r="A596" s="194">
        <v>595</v>
      </c>
      <c r="B596" s="160" t="s">
        <v>1962</v>
      </c>
      <c r="C596" s="161" t="s">
        <v>1952</v>
      </c>
      <c r="D596" s="161" t="s">
        <v>1070</v>
      </c>
      <c r="E596" s="162" t="s">
        <v>2116</v>
      </c>
      <c r="F596" s="1"/>
    </row>
    <row r="597" spans="1:6" x14ac:dyDescent="0.2">
      <c r="A597" s="194">
        <v>596</v>
      </c>
      <c r="B597" s="160" t="s">
        <v>652</v>
      </c>
      <c r="C597" s="161" t="s">
        <v>1963</v>
      </c>
      <c r="D597" s="161" t="s">
        <v>1051</v>
      </c>
      <c r="E597" s="162" t="s">
        <v>2354</v>
      </c>
      <c r="F597" s="1"/>
    </row>
    <row r="598" spans="1:6" x14ac:dyDescent="0.2">
      <c r="A598" s="194">
        <v>597</v>
      </c>
      <c r="B598" s="160" t="s">
        <v>653</v>
      </c>
      <c r="C598" s="161" t="s">
        <v>654</v>
      </c>
      <c r="D598" s="161" t="s">
        <v>1070</v>
      </c>
      <c r="E598" s="162" t="s">
        <v>2354</v>
      </c>
      <c r="F598" s="1"/>
    </row>
    <row r="599" spans="1:6" x14ac:dyDescent="0.2">
      <c r="A599" s="194">
        <v>598</v>
      </c>
      <c r="B599" s="160" t="s">
        <v>655</v>
      </c>
      <c r="C599" s="161" t="s">
        <v>656</v>
      </c>
      <c r="D599" s="161" t="s">
        <v>1051</v>
      </c>
      <c r="E599" s="162" t="s">
        <v>2354</v>
      </c>
      <c r="F599" s="1"/>
    </row>
    <row r="600" spans="1:6" x14ac:dyDescent="0.2">
      <c r="A600" s="194">
        <v>599</v>
      </c>
      <c r="B600" s="160" t="s">
        <v>657</v>
      </c>
      <c r="C600" s="161" t="s">
        <v>658</v>
      </c>
      <c r="D600" s="161" t="s">
        <v>1050</v>
      </c>
      <c r="E600" s="162" t="s">
        <v>2116</v>
      </c>
      <c r="F600" s="1"/>
    </row>
    <row r="601" spans="1:6" x14ac:dyDescent="0.2">
      <c r="A601" s="194">
        <v>600</v>
      </c>
      <c r="B601" s="165" t="s">
        <v>2319</v>
      </c>
      <c r="C601" s="166" t="s">
        <v>2320</v>
      </c>
      <c r="D601" s="166" t="s">
        <v>1051</v>
      </c>
      <c r="E601" s="162" t="s">
        <v>2123</v>
      </c>
      <c r="F601" s="1"/>
    </row>
    <row r="602" spans="1:6" x14ac:dyDescent="0.2">
      <c r="A602" s="194">
        <v>601</v>
      </c>
      <c r="B602" s="165" t="s">
        <v>2287</v>
      </c>
      <c r="C602" s="166" t="s">
        <v>2288</v>
      </c>
      <c r="D602" s="166" t="s">
        <v>1050</v>
      </c>
      <c r="E602" s="162" t="s">
        <v>2354</v>
      </c>
      <c r="F602" s="1"/>
    </row>
    <row r="603" spans="1:6" x14ac:dyDescent="0.2">
      <c r="A603" s="194">
        <v>602</v>
      </c>
      <c r="B603" s="160" t="s">
        <v>659</v>
      </c>
      <c r="C603" s="161" t="s">
        <v>660</v>
      </c>
      <c r="D603" s="161" t="s">
        <v>1051</v>
      </c>
      <c r="E603" s="162" t="s">
        <v>2115</v>
      </c>
      <c r="F603" s="1"/>
    </row>
    <row r="604" spans="1:6" x14ac:dyDescent="0.2">
      <c r="A604" s="194">
        <v>603</v>
      </c>
      <c r="B604" s="160" t="s">
        <v>661</v>
      </c>
      <c r="C604" s="161" t="s">
        <v>662</v>
      </c>
      <c r="D604" s="161" t="s">
        <v>1051</v>
      </c>
      <c r="E604" s="162" t="s">
        <v>2115</v>
      </c>
      <c r="F604" s="1"/>
    </row>
    <row r="605" spans="1:6" x14ac:dyDescent="0.2">
      <c r="A605" s="194">
        <v>604</v>
      </c>
      <c r="B605" s="160" t="s">
        <v>663</v>
      </c>
      <c r="C605" s="161" t="s">
        <v>664</v>
      </c>
      <c r="D605" s="161" t="s">
        <v>1051</v>
      </c>
      <c r="E605" s="162" t="s">
        <v>2115</v>
      </c>
      <c r="F605" s="1"/>
    </row>
    <row r="606" spans="1:6" x14ac:dyDescent="0.2">
      <c r="A606" s="194">
        <v>605</v>
      </c>
      <c r="B606" s="160" t="s">
        <v>665</v>
      </c>
      <c r="C606" s="161" t="s">
        <v>1556</v>
      </c>
      <c r="D606" s="161" t="s">
        <v>1051</v>
      </c>
      <c r="E606" s="162" t="s">
        <v>2115</v>
      </c>
      <c r="F606" s="1"/>
    </row>
    <row r="607" spans="1:6" x14ac:dyDescent="0.2">
      <c r="A607" s="194">
        <v>606</v>
      </c>
      <c r="B607" s="160" t="s">
        <v>666</v>
      </c>
      <c r="C607" s="161" t="s">
        <v>667</v>
      </c>
      <c r="D607" s="161" t="s">
        <v>1051</v>
      </c>
      <c r="E607" s="162" t="s">
        <v>2115</v>
      </c>
      <c r="F607" s="1"/>
    </row>
    <row r="608" spans="1:6" x14ac:dyDescent="0.2">
      <c r="A608" s="194">
        <v>607</v>
      </c>
      <c r="B608" s="160" t="s">
        <v>1125</v>
      </c>
      <c r="C608" s="161" t="s">
        <v>668</v>
      </c>
      <c r="D608" s="161" t="s">
        <v>1070</v>
      </c>
      <c r="E608" s="162" t="s">
        <v>2115</v>
      </c>
      <c r="F608" s="1"/>
    </row>
    <row r="609" spans="1:6" x14ac:dyDescent="0.2">
      <c r="A609" s="194">
        <v>608</v>
      </c>
      <c r="B609" s="163" t="s">
        <v>2242</v>
      </c>
      <c r="C609" s="164" t="s">
        <v>2243</v>
      </c>
      <c r="D609" s="161" t="s">
        <v>1051</v>
      </c>
      <c r="E609" s="162" t="s">
        <v>2115</v>
      </c>
      <c r="F609" s="1"/>
    </row>
    <row r="610" spans="1:6" x14ac:dyDescent="0.2">
      <c r="A610" s="194">
        <v>609</v>
      </c>
      <c r="B610" s="163" t="s">
        <v>2244</v>
      </c>
      <c r="C610" s="164" t="s">
        <v>2244</v>
      </c>
      <c r="D610" s="161" t="s">
        <v>1051</v>
      </c>
      <c r="E610" s="162" t="s">
        <v>2115</v>
      </c>
      <c r="F610" s="1"/>
    </row>
    <row r="611" spans="1:6" x14ac:dyDescent="0.2">
      <c r="A611" s="194">
        <v>610</v>
      </c>
      <c r="B611" s="160" t="s">
        <v>669</v>
      </c>
      <c r="C611" s="161" t="s">
        <v>1964</v>
      </c>
      <c r="D611" s="161" t="s">
        <v>1051</v>
      </c>
      <c r="E611" s="162" t="s">
        <v>2115</v>
      </c>
      <c r="F611" s="1"/>
    </row>
    <row r="612" spans="1:6" x14ac:dyDescent="0.2">
      <c r="A612" s="194">
        <v>611</v>
      </c>
      <c r="B612" s="160" t="s">
        <v>671</v>
      </c>
      <c r="C612" s="161" t="s">
        <v>672</v>
      </c>
      <c r="D612" s="161" t="s">
        <v>1050</v>
      </c>
      <c r="E612" s="162" t="s">
        <v>2116</v>
      </c>
      <c r="F612" s="1"/>
    </row>
    <row r="613" spans="1:6" x14ac:dyDescent="0.2">
      <c r="A613" s="194">
        <v>612</v>
      </c>
      <c r="B613" s="160" t="s">
        <v>1965</v>
      </c>
      <c r="C613" s="161" t="s">
        <v>1966</v>
      </c>
      <c r="D613" s="161" t="s">
        <v>1050</v>
      </c>
      <c r="E613" s="162" t="s">
        <v>2321</v>
      </c>
      <c r="F613" s="1"/>
    </row>
    <row r="614" spans="1:6" x14ac:dyDescent="0.2">
      <c r="A614" s="194">
        <v>613</v>
      </c>
      <c r="B614" s="160" t="s">
        <v>673</v>
      </c>
      <c r="C614" s="161" t="s">
        <v>674</v>
      </c>
      <c r="D614" s="161" t="s">
        <v>1070</v>
      </c>
      <c r="E614" s="162" t="s">
        <v>2321</v>
      </c>
      <c r="F614" s="1"/>
    </row>
    <row r="615" spans="1:6" x14ac:dyDescent="0.2">
      <c r="A615" s="194">
        <v>614</v>
      </c>
      <c r="B615" s="160" t="s">
        <v>2181</v>
      </c>
      <c r="C615" s="161" t="s">
        <v>2182</v>
      </c>
      <c r="D615" s="161" t="s">
        <v>1050</v>
      </c>
      <c r="E615" s="162" t="s">
        <v>2321</v>
      </c>
      <c r="F615" s="1"/>
    </row>
    <row r="616" spans="1:6" x14ac:dyDescent="0.2">
      <c r="A616" s="194">
        <v>615</v>
      </c>
      <c r="B616" s="160" t="s">
        <v>675</v>
      </c>
      <c r="C616" s="161" t="s">
        <v>676</v>
      </c>
      <c r="D616" s="161" t="s">
        <v>1050</v>
      </c>
      <c r="E616" s="162" t="s">
        <v>2116</v>
      </c>
      <c r="F616" s="1"/>
    </row>
    <row r="617" spans="1:6" x14ac:dyDescent="0.2">
      <c r="A617" s="194">
        <v>616</v>
      </c>
      <c r="B617" s="160" t="s">
        <v>677</v>
      </c>
      <c r="C617" s="161" t="s">
        <v>676</v>
      </c>
      <c r="D617" s="161" t="s">
        <v>1050</v>
      </c>
      <c r="E617" s="162" t="s">
        <v>2116</v>
      </c>
      <c r="F617" s="1"/>
    </row>
    <row r="618" spans="1:6" x14ac:dyDescent="0.2">
      <c r="A618" s="194">
        <v>617</v>
      </c>
      <c r="B618" s="160" t="s">
        <v>2259</v>
      </c>
      <c r="C618" s="161" t="s">
        <v>2157</v>
      </c>
      <c r="D618" s="161" t="s">
        <v>1050</v>
      </c>
      <c r="E618" s="162" t="s">
        <v>2115</v>
      </c>
      <c r="F618" s="1"/>
    </row>
    <row r="619" spans="1:6" x14ac:dyDescent="0.2">
      <c r="A619" s="194">
        <v>618</v>
      </c>
      <c r="B619" s="160" t="s">
        <v>2183</v>
      </c>
      <c r="C619" s="161" t="s">
        <v>2184</v>
      </c>
      <c r="D619" s="161" t="s">
        <v>1050</v>
      </c>
      <c r="E619" s="162" t="s">
        <v>2354</v>
      </c>
      <c r="F619" s="1"/>
    </row>
    <row r="620" spans="1:6" x14ac:dyDescent="0.2">
      <c r="A620" s="194">
        <v>619</v>
      </c>
      <c r="B620" s="163" t="s">
        <v>2289</v>
      </c>
      <c r="C620" s="164" t="s">
        <v>2290</v>
      </c>
      <c r="D620" s="164" t="s">
        <v>1050</v>
      </c>
      <c r="E620" s="162" t="s">
        <v>2354</v>
      </c>
      <c r="F620" s="1"/>
    </row>
    <row r="621" spans="1:6" x14ac:dyDescent="0.2">
      <c r="A621" s="194">
        <v>620</v>
      </c>
      <c r="B621" s="160" t="s">
        <v>2185</v>
      </c>
      <c r="C621" s="161" t="s">
        <v>2186</v>
      </c>
      <c r="D621" s="161" t="s">
        <v>1050</v>
      </c>
      <c r="E621" s="162" t="s">
        <v>2354</v>
      </c>
      <c r="F621" s="1"/>
    </row>
    <row r="622" spans="1:6" x14ac:dyDescent="0.2">
      <c r="A622" s="194">
        <v>621</v>
      </c>
      <c r="B622" s="160" t="s">
        <v>678</v>
      </c>
      <c r="C622" s="161" t="s">
        <v>679</v>
      </c>
      <c r="D622" s="161" t="s">
        <v>1070</v>
      </c>
      <c r="E622" s="162" t="s">
        <v>2354</v>
      </c>
      <c r="F622" s="1"/>
    </row>
    <row r="623" spans="1:6" x14ac:dyDescent="0.2">
      <c r="A623" s="194">
        <v>622</v>
      </c>
      <c r="B623" s="160" t="s">
        <v>2187</v>
      </c>
      <c r="C623" s="161" t="s">
        <v>1967</v>
      </c>
      <c r="D623" s="161" t="s">
        <v>1070</v>
      </c>
      <c r="E623" s="162" t="s">
        <v>2354</v>
      </c>
      <c r="F623" s="1"/>
    </row>
    <row r="624" spans="1:6" x14ac:dyDescent="0.2">
      <c r="A624" s="194">
        <v>623</v>
      </c>
      <c r="B624" s="160" t="s">
        <v>2188</v>
      </c>
      <c r="C624" s="161" t="s">
        <v>1132</v>
      </c>
      <c r="D624" s="161" t="s">
        <v>1050</v>
      </c>
      <c r="E624" s="162" t="s">
        <v>2123</v>
      </c>
      <c r="F624" s="1"/>
    </row>
    <row r="625" spans="1:6" x14ac:dyDescent="0.2">
      <c r="A625" s="194">
        <v>624</v>
      </c>
      <c r="B625" s="160" t="s">
        <v>2322</v>
      </c>
      <c r="C625" s="161" t="s">
        <v>2323</v>
      </c>
      <c r="D625" s="161" t="s">
        <v>1070</v>
      </c>
      <c r="E625" s="162" t="s">
        <v>2354</v>
      </c>
      <c r="F625" s="1"/>
    </row>
    <row r="626" spans="1:6" x14ac:dyDescent="0.2">
      <c r="A626" s="194">
        <v>625</v>
      </c>
      <c r="B626" s="160" t="s">
        <v>680</v>
      </c>
      <c r="C626" s="161" t="s">
        <v>681</v>
      </c>
      <c r="D626" s="161" t="s">
        <v>1050</v>
      </c>
      <c r="E626" s="162" t="s">
        <v>2354</v>
      </c>
      <c r="F626" s="1"/>
    </row>
    <row r="627" spans="1:6" x14ac:dyDescent="0.2">
      <c r="A627" s="194">
        <v>626</v>
      </c>
      <c r="B627" s="160" t="s">
        <v>2324</v>
      </c>
      <c r="C627" s="161" t="s">
        <v>2323</v>
      </c>
      <c r="D627" s="161" t="s">
        <v>1070</v>
      </c>
      <c r="E627" s="162" t="s">
        <v>2354</v>
      </c>
      <c r="F627" s="1"/>
    </row>
    <row r="628" spans="1:6" x14ac:dyDescent="0.2">
      <c r="A628" s="194">
        <v>627</v>
      </c>
      <c r="B628" s="160" t="s">
        <v>1968</v>
      </c>
      <c r="C628" s="161" t="s">
        <v>670</v>
      </c>
      <c r="D628" s="161" t="s">
        <v>1051</v>
      </c>
      <c r="E628" s="162" t="s">
        <v>2354</v>
      </c>
      <c r="F628" s="1"/>
    </row>
    <row r="629" spans="1:6" x14ac:dyDescent="0.2">
      <c r="A629" s="194">
        <v>628</v>
      </c>
      <c r="B629" s="160" t="s">
        <v>683</v>
      </c>
      <c r="C629" s="161" t="s">
        <v>418</v>
      </c>
      <c r="D629" s="161" t="s">
        <v>1051</v>
      </c>
      <c r="E629" s="162" t="s">
        <v>2115</v>
      </c>
      <c r="F629" s="1"/>
    </row>
    <row r="630" spans="1:6" x14ac:dyDescent="0.2">
      <c r="A630" s="194">
        <v>629</v>
      </c>
      <c r="B630" s="160" t="s">
        <v>684</v>
      </c>
      <c r="C630" s="161" t="s">
        <v>418</v>
      </c>
      <c r="D630" s="161" t="s">
        <v>1051</v>
      </c>
      <c r="E630" s="162" t="s">
        <v>2115</v>
      </c>
      <c r="F630" s="1"/>
    </row>
    <row r="631" spans="1:6" x14ac:dyDescent="0.2">
      <c r="A631" s="194">
        <v>630</v>
      </c>
      <c r="B631" s="160" t="s">
        <v>685</v>
      </c>
      <c r="C631" s="161" t="s">
        <v>686</v>
      </c>
      <c r="D631" s="161" t="s">
        <v>1050</v>
      </c>
      <c r="E631" s="162" t="s">
        <v>2116</v>
      </c>
      <c r="F631" s="1"/>
    </row>
    <row r="632" spans="1:6" x14ac:dyDescent="0.2">
      <c r="A632" s="194">
        <v>631</v>
      </c>
      <c r="B632" s="160" t="s">
        <v>687</v>
      </c>
      <c r="C632" s="161" t="s">
        <v>688</v>
      </c>
      <c r="D632" s="161" t="s">
        <v>1070</v>
      </c>
      <c r="E632" s="162" t="s">
        <v>2116</v>
      </c>
      <c r="F632" s="1"/>
    </row>
    <row r="633" spans="1:6" x14ac:dyDescent="0.2">
      <c r="A633" s="194">
        <v>632</v>
      </c>
      <c r="B633" s="160" t="s">
        <v>689</v>
      </c>
      <c r="C633" s="161" t="s">
        <v>1557</v>
      </c>
      <c r="D633" s="161" t="s">
        <v>1070</v>
      </c>
      <c r="E633" s="162" t="s">
        <v>2116</v>
      </c>
      <c r="F633" s="1"/>
    </row>
    <row r="634" spans="1:6" x14ac:dyDescent="0.2">
      <c r="A634" s="194">
        <v>633</v>
      </c>
      <c r="B634" s="160" t="s">
        <v>690</v>
      </c>
      <c r="C634" s="161" t="s">
        <v>691</v>
      </c>
      <c r="D634" s="161" t="s">
        <v>1051</v>
      </c>
      <c r="E634" s="162" t="s">
        <v>2116</v>
      </c>
      <c r="F634" s="1"/>
    </row>
    <row r="635" spans="1:6" x14ac:dyDescent="0.2">
      <c r="A635" s="194">
        <v>634</v>
      </c>
      <c r="B635" s="160" t="s">
        <v>692</v>
      </c>
      <c r="C635" s="161" t="s">
        <v>1969</v>
      </c>
      <c r="D635" s="161" t="s">
        <v>1050</v>
      </c>
      <c r="E635" s="162" t="s">
        <v>696</v>
      </c>
      <c r="F635" s="1"/>
    </row>
    <row r="636" spans="1:6" x14ac:dyDescent="0.2">
      <c r="A636" s="194">
        <v>635</v>
      </c>
      <c r="B636" s="160" t="s">
        <v>693</v>
      </c>
      <c r="C636" s="161" t="s">
        <v>694</v>
      </c>
      <c r="D636" s="161" t="s">
        <v>1050</v>
      </c>
      <c r="E636" s="162" t="s">
        <v>696</v>
      </c>
      <c r="F636" s="1"/>
    </row>
    <row r="637" spans="1:6" x14ac:dyDescent="0.2">
      <c r="A637" s="194">
        <v>636</v>
      </c>
      <c r="B637" s="160" t="s">
        <v>695</v>
      </c>
      <c r="C637" s="161" t="s">
        <v>696</v>
      </c>
      <c r="D637" s="161" t="s">
        <v>1050</v>
      </c>
      <c r="E637" s="162" t="s">
        <v>696</v>
      </c>
      <c r="F637" s="1"/>
    </row>
    <row r="638" spans="1:6" x14ac:dyDescent="0.2">
      <c r="A638" s="194">
        <v>637</v>
      </c>
      <c r="B638" s="160" t="s">
        <v>2189</v>
      </c>
      <c r="C638" s="161" t="s">
        <v>2190</v>
      </c>
      <c r="D638" s="161" t="s">
        <v>1050</v>
      </c>
      <c r="E638" s="162" t="s">
        <v>696</v>
      </c>
      <c r="F638" s="1"/>
    </row>
    <row r="639" spans="1:6" x14ac:dyDescent="0.2">
      <c r="A639" s="194">
        <v>638</v>
      </c>
      <c r="B639" s="160" t="s">
        <v>1558</v>
      </c>
      <c r="C639" s="161" t="s">
        <v>1559</v>
      </c>
      <c r="D639" s="161" t="s">
        <v>1050</v>
      </c>
      <c r="E639" s="162" t="s">
        <v>2354</v>
      </c>
      <c r="F639" s="1"/>
    </row>
    <row r="640" spans="1:6" x14ac:dyDescent="0.2">
      <c r="A640" s="194">
        <v>639</v>
      </c>
      <c r="B640" s="160" t="s">
        <v>2363</v>
      </c>
      <c r="C640" s="161" t="s">
        <v>2364</v>
      </c>
      <c r="D640" s="161" t="s">
        <v>1050</v>
      </c>
      <c r="E640" s="162" t="s">
        <v>2354</v>
      </c>
      <c r="F640" s="1"/>
    </row>
    <row r="641" spans="1:6" x14ac:dyDescent="0.2">
      <c r="A641" s="194">
        <v>640</v>
      </c>
      <c r="B641" s="160" t="s">
        <v>697</v>
      </c>
      <c r="C641" s="161" t="s">
        <v>698</v>
      </c>
      <c r="D641" s="161" t="s">
        <v>1050</v>
      </c>
      <c r="E641" s="162" t="s">
        <v>2354</v>
      </c>
      <c r="F641" s="1"/>
    </row>
    <row r="642" spans="1:6" x14ac:dyDescent="0.2">
      <c r="A642" s="194">
        <v>641</v>
      </c>
      <c r="B642" s="160" t="s">
        <v>699</v>
      </c>
      <c r="C642" s="161" t="s">
        <v>1970</v>
      </c>
      <c r="D642" s="161" t="s">
        <v>1050</v>
      </c>
      <c r="E642" s="162" t="s">
        <v>2116</v>
      </c>
      <c r="F642" s="1"/>
    </row>
    <row r="643" spans="1:6" x14ac:dyDescent="0.2">
      <c r="A643" s="194">
        <v>642</v>
      </c>
      <c r="B643" s="160" t="s">
        <v>700</v>
      </c>
      <c r="C643" s="161" t="s">
        <v>1126</v>
      </c>
      <c r="D643" s="161" t="s">
        <v>1050</v>
      </c>
      <c r="E643" s="162" t="s">
        <v>2116</v>
      </c>
      <c r="F643" s="1"/>
    </row>
    <row r="644" spans="1:6" x14ac:dyDescent="0.2">
      <c r="A644" s="194">
        <v>643</v>
      </c>
      <c r="B644" s="160" t="s">
        <v>701</v>
      </c>
      <c r="C644" s="161" t="s">
        <v>5</v>
      </c>
      <c r="D644" s="161" t="s">
        <v>1050</v>
      </c>
      <c r="E644" s="162" t="s">
        <v>2116</v>
      </c>
      <c r="F644" s="1"/>
    </row>
    <row r="645" spans="1:6" x14ac:dyDescent="0.2">
      <c r="A645" s="194">
        <v>644</v>
      </c>
      <c r="B645" s="160" t="s">
        <v>702</v>
      </c>
      <c r="C645" s="161" t="s">
        <v>1971</v>
      </c>
      <c r="D645" s="161" t="s">
        <v>1050</v>
      </c>
      <c r="E645" s="162" t="s">
        <v>2116</v>
      </c>
      <c r="F645" s="1"/>
    </row>
    <row r="646" spans="1:6" x14ac:dyDescent="0.2">
      <c r="A646" s="194">
        <v>645</v>
      </c>
      <c r="B646" s="160" t="s">
        <v>703</v>
      </c>
      <c r="C646" s="161" t="s">
        <v>1127</v>
      </c>
      <c r="D646" s="161" t="s">
        <v>1070</v>
      </c>
      <c r="E646" s="162" t="s">
        <v>2116</v>
      </c>
      <c r="F646" s="1"/>
    </row>
    <row r="647" spans="1:6" x14ac:dyDescent="0.2">
      <c r="A647" s="194">
        <v>646</v>
      </c>
      <c r="B647" s="160" t="s">
        <v>1128</v>
      </c>
      <c r="C647" s="161" t="s">
        <v>704</v>
      </c>
      <c r="D647" s="161" t="s">
        <v>1070</v>
      </c>
      <c r="E647" s="162" t="s">
        <v>2115</v>
      </c>
      <c r="F647" s="1"/>
    </row>
    <row r="648" spans="1:6" x14ac:dyDescent="0.2">
      <c r="A648" s="194">
        <v>647</v>
      </c>
      <c r="B648" s="160" t="s">
        <v>705</v>
      </c>
      <c r="C648" s="161" t="s">
        <v>1129</v>
      </c>
      <c r="D648" s="161" t="s">
        <v>1050</v>
      </c>
      <c r="E648" s="162" t="s">
        <v>2116</v>
      </c>
      <c r="F648" s="1"/>
    </row>
    <row r="649" spans="1:6" x14ac:dyDescent="0.2">
      <c r="A649" s="194">
        <v>648</v>
      </c>
      <c r="B649" s="160" t="s">
        <v>706</v>
      </c>
      <c r="C649" s="161" t="s">
        <v>1561</v>
      </c>
      <c r="D649" s="161" t="s">
        <v>1050</v>
      </c>
      <c r="E649" s="162" t="s">
        <v>2116</v>
      </c>
      <c r="F649" s="1"/>
    </row>
    <row r="650" spans="1:6" x14ac:dyDescent="0.2">
      <c r="A650" s="194">
        <v>649</v>
      </c>
      <c r="B650" s="160" t="s">
        <v>707</v>
      </c>
      <c r="C650" s="161" t="s">
        <v>1562</v>
      </c>
      <c r="D650" s="161" t="s">
        <v>1050</v>
      </c>
      <c r="E650" s="162" t="s">
        <v>2116</v>
      </c>
      <c r="F650" s="1"/>
    </row>
    <row r="651" spans="1:6" x14ac:dyDescent="0.2">
      <c r="A651" s="194">
        <v>650</v>
      </c>
      <c r="B651" s="160" t="s">
        <v>708</v>
      </c>
      <c r="C651" s="161" t="s">
        <v>1130</v>
      </c>
      <c r="D651" s="161" t="s">
        <v>1050</v>
      </c>
      <c r="E651" s="162" t="s">
        <v>2116</v>
      </c>
      <c r="F651" s="1"/>
    </row>
    <row r="652" spans="1:6" x14ac:dyDescent="0.2">
      <c r="A652" s="194">
        <v>651</v>
      </c>
      <c r="B652" s="160" t="s">
        <v>709</v>
      </c>
      <c r="C652" s="161" t="s">
        <v>710</v>
      </c>
      <c r="D652" s="161" t="s">
        <v>1050</v>
      </c>
      <c r="E652" s="162" t="s">
        <v>2116</v>
      </c>
      <c r="F652" s="1"/>
    </row>
    <row r="653" spans="1:6" x14ac:dyDescent="0.2">
      <c r="A653" s="194">
        <v>652</v>
      </c>
      <c r="B653" s="160" t="s">
        <v>711</v>
      </c>
      <c r="C653" s="161" t="s">
        <v>712</v>
      </c>
      <c r="D653" s="161" t="s">
        <v>1050</v>
      </c>
      <c r="E653" s="162" t="s">
        <v>2116</v>
      </c>
      <c r="F653" s="1"/>
    </row>
    <row r="654" spans="1:6" x14ac:dyDescent="0.2">
      <c r="A654" s="194">
        <v>653</v>
      </c>
      <c r="B654" s="160" t="s">
        <v>713</v>
      </c>
      <c r="C654" s="161" t="s">
        <v>1972</v>
      </c>
      <c r="D654" s="161" t="s">
        <v>1050</v>
      </c>
      <c r="E654" s="162" t="s">
        <v>2116</v>
      </c>
      <c r="F654" s="1"/>
    </row>
    <row r="655" spans="1:6" x14ac:dyDescent="0.2">
      <c r="A655" s="194">
        <v>654</v>
      </c>
      <c r="B655" s="160" t="s">
        <v>714</v>
      </c>
      <c r="C655" s="161" t="s">
        <v>715</v>
      </c>
      <c r="D655" s="161" t="s">
        <v>1050</v>
      </c>
      <c r="E655" s="162" t="s">
        <v>2116</v>
      </c>
      <c r="F655" s="1"/>
    </row>
    <row r="656" spans="1:6" x14ac:dyDescent="0.2">
      <c r="A656" s="194">
        <v>655</v>
      </c>
      <c r="B656" s="160" t="s">
        <v>716</v>
      </c>
      <c r="C656" s="161" t="s">
        <v>1563</v>
      </c>
      <c r="D656" s="161" t="s">
        <v>1050</v>
      </c>
      <c r="E656" s="162" t="s">
        <v>2116</v>
      </c>
      <c r="F656" s="1"/>
    </row>
    <row r="657" spans="1:6" x14ac:dyDescent="0.2">
      <c r="A657" s="194">
        <v>656</v>
      </c>
      <c r="B657" s="160" t="s">
        <v>717</v>
      </c>
      <c r="C657" s="161" t="s">
        <v>1564</v>
      </c>
      <c r="D657" s="161" t="s">
        <v>1050</v>
      </c>
      <c r="E657" s="162" t="s">
        <v>2116</v>
      </c>
      <c r="F657" s="1"/>
    </row>
    <row r="658" spans="1:6" x14ac:dyDescent="0.2">
      <c r="A658" s="194">
        <v>657</v>
      </c>
      <c r="B658" s="160" t="s">
        <v>718</v>
      </c>
      <c r="C658" s="161" t="s">
        <v>1561</v>
      </c>
      <c r="D658" s="161" t="s">
        <v>1050</v>
      </c>
      <c r="E658" s="162" t="s">
        <v>2116</v>
      </c>
      <c r="F658" s="1"/>
    </row>
    <row r="659" spans="1:6" x14ac:dyDescent="0.2">
      <c r="A659" s="194">
        <v>658</v>
      </c>
      <c r="B659" s="160" t="s">
        <v>719</v>
      </c>
      <c r="C659" s="161" t="s">
        <v>1565</v>
      </c>
      <c r="D659" s="161" t="s">
        <v>1050</v>
      </c>
      <c r="E659" s="162" t="s">
        <v>2116</v>
      </c>
      <c r="F659" s="1"/>
    </row>
    <row r="660" spans="1:6" x14ac:dyDescent="0.2">
      <c r="A660" s="194">
        <v>659</v>
      </c>
      <c r="B660" s="160" t="s">
        <v>720</v>
      </c>
      <c r="C660" s="161" t="s">
        <v>1566</v>
      </c>
      <c r="D660" s="161" t="s">
        <v>1050</v>
      </c>
      <c r="E660" s="162" t="s">
        <v>2116</v>
      </c>
      <c r="F660" s="1"/>
    </row>
    <row r="661" spans="1:6" x14ac:dyDescent="0.2">
      <c r="A661" s="194">
        <v>660</v>
      </c>
      <c r="B661" s="160" t="s">
        <v>2191</v>
      </c>
      <c r="C661" s="161" t="s">
        <v>2192</v>
      </c>
      <c r="D661" s="161" t="s">
        <v>1050</v>
      </c>
      <c r="E661" s="162" t="s">
        <v>2116</v>
      </c>
      <c r="F661" s="1"/>
    </row>
    <row r="662" spans="1:6" x14ac:dyDescent="0.2">
      <c r="A662" s="194">
        <v>661</v>
      </c>
      <c r="B662" s="160" t="s">
        <v>721</v>
      </c>
      <c r="C662" s="161" t="s">
        <v>1567</v>
      </c>
      <c r="D662" s="161" t="s">
        <v>1050</v>
      </c>
      <c r="E662" s="162" t="s">
        <v>2116</v>
      </c>
      <c r="F662" s="1"/>
    </row>
    <row r="663" spans="1:6" x14ac:dyDescent="0.2">
      <c r="A663" s="194">
        <v>662</v>
      </c>
      <c r="B663" s="160" t="s">
        <v>722</v>
      </c>
      <c r="C663" s="161" t="s">
        <v>1568</v>
      </c>
      <c r="D663" s="161" t="s">
        <v>1050</v>
      </c>
      <c r="E663" s="162" t="s">
        <v>2116</v>
      </c>
      <c r="F663" s="1"/>
    </row>
    <row r="664" spans="1:6" x14ac:dyDescent="0.2">
      <c r="A664" s="194">
        <v>663</v>
      </c>
      <c r="B664" s="160" t="s">
        <v>1131</v>
      </c>
      <c r="C664" s="161" t="s">
        <v>1132</v>
      </c>
      <c r="D664" s="161" t="s">
        <v>1050</v>
      </c>
      <c r="E664" s="162" t="s">
        <v>2123</v>
      </c>
      <c r="F664" s="1"/>
    </row>
    <row r="665" spans="1:6" x14ac:dyDescent="0.2">
      <c r="A665" s="194">
        <v>664</v>
      </c>
      <c r="B665" s="160" t="s">
        <v>2193</v>
      </c>
      <c r="C665" s="161" t="s">
        <v>2194</v>
      </c>
      <c r="D665" s="161" t="s">
        <v>1050</v>
      </c>
      <c r="E665" s="162" t="s">
        <v>2116</v>
      </c>
      <c r="F665" s="1"/>
    </row>
    <row r="666" spans="1:6" x14ac:dyDescent="0.2">
      <c r="A666" s="194">
        <v>665</v>
      </c>
      <c r="B666" s="160" t="s">
        <v>723</v>
      </c>
      <c r="C666" s="161" t="s">
        <v>724</v>
      </c>
      <c r="D666" s="161" t="s">
        <v>1070</v>
      </c>
      <c r="E666" s="162" t="s">
        <v>2116</v>
      </c>
      <c r="F666" s="1"/>
    </row>
    <row r="667" spans="1:6" x14ac:dyDescent="0.2">
      <c r="A667" s="194">
        <v>666</v>
      </c>
      <c r="B667" s="160" t="s">
        <v>725</v>
      </c>
      <c r="C667" s="161" t="s">
        <v>726</v>
      </c>
      <c r="D667" s="161" t="s">
        <v>1050</v>
      </c>
      <c r="E667" s="162" t="s">
        <v>2115</v>
      </c>
      <c r="F667" s="1"/>
    </row>
    <row r="668" spans="1:6" x14ac:dyDescent="0.2">
      <c r="A668" s="194">
        <v>667</v>
      </c>
      <c r="B668" s="160" t="s">
        <v>2195</v>
      </c>
      <c r="C668" s="161" t="s">
        <v>2196</v>
      </c>
      <c r="D668" s="161" t="s">
        <v>1050</v>
      </c>
      <c r="E668" s="162" t="s">
        <v>2115</v>
      </c>
      <c r="F668" s="1"/>
    </row>
    <row r="669" spans="1:6" x14ac:dyDescent="0.2">
      <c r="A669" s="194">
        <v>668</v>
      </c>
      <c r="B669" s="160" t="s">
        <v>1973</v>
      </c>
      <c r="C669" s="161" t="s">
        <v>2365</v>
      </c>
      <c r="D669" s="161" t="s">
        <v>1050</v>
      </c>
      <c r="E669" s="162" t="s">
        <v>2116</v>
      </c>
      <c r="F669" s="1"/>
    </row>
    <row r="670" spans="1:6" x14ac:dyDescent="0.2">
      <c r="A670" s="194">
        <v>669</v>
      </c>
      <c r="B670" s="160" t="s">
        <v>727</v>
      </c>
      <c r="C670" s="161" t="s">
        <v>728</v>
      </c>
      <c r="D670" s="161" t="s">
        <v>1050</v>
      </c>
      <c r="E670" s="162" t="s">
        <v>2115</v>
      </c>
      <c r="F670" s="1"/>
    </row>
    <row r="671" spans="1:6" x14ac:dyDescent="0.2">
      <c r="A671" s="194">
        <v>670</v>
      </c>
      <c r="B671" s="160" t="s">
        <v>729</v>
      </c>
      <c r="C671" s="161" t="s">
        <v>2197</v>
      </c>
      <c r="D671" s="161" t="s">
        <v>1050</v>
      </c>
      <c r="E671" s="162" t="s">
        <v>2115</v>
      </c>
      <c r="F671" s="1"/>
    </row>
    <row r="672" spans="1:6" x14ac:dyDescent="0.2">
      <c r="A672" s="194">
        <v>671</v>
      </c>
      <c r="B672" s="160" t="s">
        <v>730</v>
      </c>
      <c r="C672" s="161" t="s">
        <v>1569</v>
      </c>
      <c r="D672" s="161" t="s">
        <v>1050</v>
      </c>
      <c r="E672" s="162" t="s">
        <v>2116</v>
      </c>
      <c r="F672" s="1"/>
    </row>
    <row r="673" spans="1:6" x14ac:dyDescent="0.2">
      <c r="A673" s="194">
        <v>672</v>
      </c>
      <c r="B673" s="160" t="s">
        <v>731</v>
      </c>
      <c r="C673" s="161" t="s">
        <v>1570</v>
      </c>
      <c r="D673" s="161" t="s">
        <v>1050</v>
      </c>
      <c r="E673" s="162" t="s">
        <v>2116</v>
      </c>
      <c r="F673" s="1"/>
    </row>
    <row r="674" spans="1:6" x14ac:dyDescent="0.2">
      <c r="A674" s="194">
        <v>673</v>
      </c>
      <c r="B674" s="160" t="s">
        <v>732</v>
      </c>
      <c r="C674" s="161" t="s">
        <v>733</v>
      </c>
      <c r="D674" s="161" t="s">
        <v>1050</v>
      </c>
      <c r="E674" s="162" t="s">
        <v>743</v>
      </c>
      <c r="F674" s="1"/>
    </row>
    <row r="675" spans="1:6" x14ac:dyDescent="0.2">
      <c r="A675" s="194">
        <v>674</v>
      </c>
      <c r="B675" s="165" t="s">
        <v>2325</v>
      </c>
      <c r="C675" s="166" t="s">
        <v>2326</v>
      </c>
      <c r="D675" s="166" t="s">
        <v>1050</v>
      </c>
      <c r="E675" s="174" t="s">
        <v>2115</v>
      </c>
      <c r="F675" s="1"/>
    </row>
    <row r="676" spans="1:6" x14ac:dyDescent="0.2">
      <c r="A676" s="194">
        <v>675</v>
      </c>
      <c r="B676" s="160" t="s">
        <v>734</v>
      </c>
      <c r="C676" s="161" t="s">
        <v>735</v>
      </c>
      <c r="D676" s="161" t="s">
        <v>1051</v>
      </c>
      <c r="E676" s="162" t="s">
        <v>2115</v>
      </c>
      <c r="F676" s="1"/>
    </row>
    <row r="677" spans="1:6" x14ac:dyDescent="0.2">
      <c r="A677" s="194">
        <v>676</v>
      </c>
      <c r="B677" s="160" t="s">
        <v>736</v>
      </c>
      <c r="C677" s="161" t="s">
        <v>1571</v>
      </c>
      <c r="D677" s="161" t="s">
        <v>1051</v>
      </c>
      <c r="E677" s="162" t="s">
        <v>2116</v>
      </c>
      <c r="F677" s="1"/>
    </row>
    <row r="678" spans="1:6" x14ac:dyDescent="0.2">
      <c r="A678" s="194">
        <v>677</v>
      </c>
      <c r="B678" s="160" t="s">
        <v>737</v>
      </c>
      <c r="C678" s="161" t="s">
        <v>1572</v>
      </c>
      <c r="D678" s="161" t="s">
        <v>1051</v>
      </c>
      <c r="E678" s="162" t="s">
        <v>2116</v>
      </c>
      <c r="F678" s="1"/>
    </row>
    <row r="679" spans="1:6" x14ac:dyDescent="0.2">
      <c r="A679" s="194">
        <v>678</v>
      </c>
      <c r="B679" s="160" t="s">
        <v>2198</v>
      </c>
      <c r="C679" s="161" t="s">
        <v>2199</v>
      </c>
      <c r="D679" s="161" t="s">
        <v>1051</v>
      </c>
      <c r="E679" s="162" t="s">
        <v>2116</v>
      </c>
      <c r="F679" s="1"/>
    </row>
    <row r="680" spans="1:6" x14ac:dyDescent="0.2">
      <c r="A680" s="194">
        <v>679</v>
      </c>
      <c r="B680" s="160" t="s">
        <v>738</v>
      </c>
      <c r="C680" s="161" t="s">
        <v>201</v>
      </c>
      <c r="D680" s="161" t="s">
        <v>1051</v>
      </c>
      <c r="E680" s="162" t="s">
        <v>2354</v>
      </c>
      <c r="F680" s="1"/>
    </row>
    <row r="681" spans="1:6" x14ac:dyDescent="0.2">
      <c r="A681" s="194">
        <v>680</v>
      </c>
      <c r="B681" s="160" t="s">
        <v>2200</v>
      </c>
      <c r="C681" s="161" t="s">
        <v>2201</v>
      </c>
      <c r="D681" s="161" t="s">
        <v>1070</v>
      </c>
      <c r="E681" s="162" t="s">
        <v>2116</v>
      </c>
      <c r="F681" s="1"/>
    </row>
    <row r="682" spans="1:6" x14ac:dyDescent="0.2">
      <c r="A682" s="194">
        <v>681</v>
      </c>
      <c r="B682" s="160" t="s">
        <v>739</v>
      </c>
      <c r="C682" s="161" t="s">
        <v>1573</v>
      </c>
      <c r="D682" s="161" t="s">
        <v>1070</v>
      </c>
      <c r="E682" s="162" t="s">
        <v>2116</v>
      </c>
      <c r="F682" s="1"/>
    </row>
    <row r="683" spans="1:6" x14ac:dyDescent="0.2">
      <c r="A683" s="194">
        <v>682</v>
      </c>
      <c r="B683" s="160" t="s">
        <v>740</v>
      </c>
      <c r="C683" s="161" t="s">
        <v>741</v>
      </c>
      <c r="D683" s="161" t="s">
        <v>1051</v>
      </c>
      <c r="E683" s="162" t="s">
        <v>743</v>
      </c>
      <c r="F683" s="1"/>
    </row>
    <row r="684" spans="1:6" x14ac:dyDescent="0.2">
      <c r="A684" s="194">
        <v>683</v>
      </c>
      <c r="B684" s="160" t="s">
        <v>742</v>
      </c>
      <c r="C684" s="161" t="s">
        <v>743</v>
      </c>
      <c r="D684" s="161" t="s">
        <v>1050</v>
      </c>
      <c r="E684" s="162" t="s">
        <v>743</v>
      </c>
      <c r="F684" s="1"/>
    </row>
    <row r="685" spans="1:6" x14ac:dyDescent="0.2">
      <c r="A685" s="194">
        <v>684</v>
      </c>
      <c r="B685" s="160" t="s">
        <v>744</v>
      </c>
      <c r="C685" s="161" t="s">
        <v>1574</v>
      </c>
      <c r="D685" s="161" t="s">
        <v>1050</v>
      </c>
      <c r="E685" s="162" t="s">
        <v>2116</v>
      </c>
      <c r="F685" s="1"/>
    </row>
    <row r="686" spans="1:6" x14ac:dyDescent="0.2">
      <c r="A686" s="194">
        <v>685</v>
      </c>
      <c r="B686" s="160" t="s">
        <v>745</v>
      </c>
      <c r="C686" s="161" t="s">
        <v>1133</v>
      </c>
      <c r="D686" s="161" t="s">
        <v>1050</v>
      </c>
      <c r="E686" s="162" t="s">
        <v>2116</v>
      </c>
      <c r="F686" s="1"/>
    </row>
    <row r="687" spans="1:6" x14ac:dyDescent="0.2">
      <c r="A687" s="194">
        <v>686</v>
      </c>
      <c r="B687" s="160" t="s">
        <v>746</v>
      </c>
      <c r="C687" s="161" t="s">
        <v>1575</v>
      </c>
      <c r="D687" s="161" t="s">
        <v>1050</v>
      </c>
      <c r="E687" s="162" t="s">
        <v>2116</v>
      </c>
      <c r="F687" s="1"/>
    </row>
    <row r="688" spans="1:6" x14ac:dyDescent="0.2">
      <c r="A688" s="194">
        <v>687</v>
      </c>
      <c r="B688" s="160" t="s">
        <v>2202</v>
      </c>
      <c r="C688" s="161" t="s">
        <v>2203</v>
      </c>
      <c r="D688" s="161" t="s">
        <v>1050</v>
      </c>
      <c r="E688" s="162" t="s">
        <v>2116</v>
      </c>
      <c r="F688" s="1"/>
    </row>
    <row r="689" spans="1:6" x14ac:dyDescent="0.2">
      <c r="A689" s="194">
        <v>688</v>
      </c>
      <c r="B689" s="160" t="s">
        <v>747</v>
      </c>
      <c r="C689" s="161" t="s">
        <v>1974</v>
      </c>
      <c r="D689" s="161" t="s">
        <v>1050</v>
      </c>
      <c r="E689" s="162" t="s">
        <v>2116</v>
      </c>
      <c r="F689" s="1"/>
    </row>
    <row r="690" spans="1:6" x14ac:dyDescent="0.2">
      <c r="A690" s="194">
        <v>689</v>
      </c>
      <c r="B690" s="160" t="s">
        <v>748</v>
      </c>
      <c r="C690" s="161" t="s">
        <v>1975</v>
      </c>
      <c r="D690" s="161" t="s">
        <v>1050</v>
      </c>
      <c r="E690" s="162" t="s">
        <v>2116</v>
      </c>
      <c r="F690" s="1"/>
    </row>
    <row r="691" spans="1:6" x14ac:dyDescent="0.2">
      <c r="A691" s="194">
        <v>690</v>
      </c>
      <c r="B691" s="160" t="s">
        <v>749</v>
      </c>
      <c r="C691" s="161" t="s">
        <v>1976</v>
      </c>
      <c r="D691" s="161" t="s">
        <v>1050</v>
      </c>
      <c r="E691" s="162" t="s">
        <v>2116</v>
      </c>
      <c r="F691" s="1"/>
    </row>
    <row r="692" spans="1:6" x14ac:dyDescent="0.2">
      <c r="A692" s="194">
        <v>691</v>
      </c>
      <c r="B692" s="160" t="s">
        <v>750</v>
      </c>
      <c r="C692" s="161" t="s">
        <v>1134</v>
      </c>
      <c r="D692" s="161" t="s">
        <v>1070</v>
      </c>
      <c r="E692" s="162" t="s">
        <v>2115</v>
      </c>
      <c r="F692" s="1"/>
    </row>
    <row r="693" spans="1:6" x14ac:dyDescent="0.2">
      <c r="A693" s="194">
        <v>692</v>
      </c>
      <c r="B693" s="160" t="s">
        <v>751</v>
      </c>
      <c r="C693" s="161" t="s">
        <v>752</v>
      </c>
      <c r="D693" s="161" t="s">
        <v>1050</v>
      </c>
      <c r="E693" s="162" t="s">
        <v>2123</v>
      </c>
      <c r="F693" s="1"/>
    </row>
    <row r="694" spans="1:6" x14ac:dyDescent="0.2">
      <c r="A694" s="194">
        <v>693</v>
      </c>
      <c r="B694" s="160" t="s">
        <v>753</v>
      </c>
      <c r="C694" s="161" t="s">
        <v>754</v>
      </c>
      <c r="D694" s="161" t="s">
        <v>1050</v>
      </c>
      <c r="E694" s="162" t="s">
        <v>2116</v>
      </c>
      <c r="F694" s="1"/>
    </row>
    <row r="695" spans="1:6" x14ac:dyDescent="0.2">
      <c r="A695" s="194">
        <v>694</v>
      </c>
      <c r="B695" s="160" t="s">
        <v>755</v>
      </c>
      <c r="C695" s="161" t="s">
        <v>1576</v>
      </c>
      <c r="D695" s="161" t="s">
        <v>1070</v>
      </c>
      <c r="E695" s="162" t="s">
        <v>2115</v>
      </c>
      <c r="F695" s="1"/>
    </row>
    <row r="696" spans="1:6" x14ac:dyDescent="0.2">
      <c r="A696" s="194">
        <v>695</v>
      </c>
      <c r="B696" s="160" t="s">
        <v>756</v>
      </c>
      <c r="C696" s="161" t="s">
        <v>1577</v>
      </c>
      <c r="D696" s="161" t="s">
        <v>1051</v>
      </c>
      <c r="E696" s="162" t="s">
        <v>2116</v>
      </c>
      <c r="F696" s="1"/>
    </row>
    <row r="697" spans="1:6" x14ac:dyDescent="0.2">
      <c r="A697" s="194">
        <v>696</v>
      </c>
      <c r="B697" s="160" t="s">
        <v>1135</v>
      </c>
      <c r="C697" s="161" t="s">
        <v>1135</v>
      </c>
      <c r="D697" s="161" t="s">
        <v>1070</v>
      </c>
      <c r="E697" s="162" t="s">
        <v>2116</v>
      </c>
      <c r="F697" s="1"/>
    </row>
    <row r="698" spans="1:6" x14ac:dyDescent="0.2">
      <c r="A698" s="194">
        <v>697</v>
      </c>
      <c r="B698" s="160" t="s">
        <v>757</v>
      </c>
      <c r="C698" s="161" t="s">
        <v>758</v>
      </c>
      <c r="D698" s="161" t="s">
        <v>1070</v>
      </c>
      <c r="E698" s="162" t="s">
        <v>2116</v>
      </c>
      <c r="F698" s="1"/>
    </row>
    <row r="699" spans="1:6" x14ac:dyDescent="0.2">
      <c r="A699" s="194">
        <v>698</v>
      </c>
      <c r="B699" s="160" t="s">
        <v>2204</v>
      </c>
      <c r="C699" s="161" t="s">
        <v>2205</v>
      </c>
      <c r="D699" s="161" t="s">
        <v>1070</v>
      </c>
      <c r="E699" s="162" t="s">
        <v>2116</v>
      </c>
      <c r="F699" s="1"/>
    </row>
    <row r="700" spans="1:6" x14ac:dyDescent="0.2">
      <c r="A700" s="194">
        <v>699</v>
      </c>
      <c r="B700" s="160" t="s">
        <v>759</v>
      </c>
      <c r="C700" s="161" t="s">
        <v>1977</v>
      </c>
      <c r="D700" s="161" t="s">
        <v>1070</v>
      </c>
      <c r="E700" s="162" t="s">
        <v>2115</v>
      </c>
      <c r="F700" s="1"/>
    </row>
    <row r="701" spans="1:6" x14ac:dyDescent="0.2">
      <c r="A701" s="194">
        <v>700</v>
      </c>
      <c r="B701" s="160" t="s">
        <v>760</v>
      </c>
      <c r="C701" s="161" t="s">
        <v>761</v>
      </c>
      <c r="D701" s="161" t="s">
        <v>1070</v>
      </c>
      <c r="E701" s="162" t="s">
        <v>2116</v>
      </c>
      <c r="F701" s="1"/>
    </row>
    <row r="702" spans="1:6" x14ac:dyDescent="0.2">
      <c r="A702" s="194">
        <v>701</v>
      </c>
      <c r="B702" s="160" t="s">
        <v>762</v>
      </c>
      <c r="C702" s="161" t="s">
        <v>763</v>
      </c>
      <c r="D702" s="161" t="s">
        <v>1070</v>
      </c>
      <c r="E702" s="162" t="s">
        <v>2116</v>
      </c>
      <c r="F702" s="1"/>
    </row>
    <row r="703" spans="1:6" x14ac:dyDescent="0.2">
      <c r="A703" s="194">
        <v>702</v>
      </c>
      <c r="B703" s="160" t="s">
        <v>764</v>
      </c>
      <c r="C703" s="161" t="s">
        <v>765</v>
      </c>
      <c r="D703" s="161" t="s">
        <v>1050</v>
      </c>
      <c r="E703" s="162" t="s">
        <v>2116</v>
      </c>
      <c r="F703" s="1"/>
    </row>
    <row r="704" spans="1:6" x14ac:dyDescent="0.2">
      <c r="A704" s="194">
        <v>703</v>
      </c>
      <c r="B704" s="160" t="s">
        <v>766</v>
      </c>
      <c r="C704" s="161" t="s">
        <v>767</v>
      </c>
      <c r="D704" s="161" t="s">
        <v>1050</v>
      </c>
      <c r="E704" s="162" t="s">
        <v>2116</v>
      </c>
      <c r="F704" s="1"/>
    </row>
    <row r="705" spans="1:6" x14ac:dyDescent="0.2">
      <c r="A705" s="194">
        <v>704</v>
      </c>
      <c r="B705" s="160" t="s">
        <v>768</v>
      </c>
      <c r="C705" s="161" t="s">
        <v>1578</v>
      </c>
      <c r="D705" s="161" t="s">
        <v>1050</v>
      </c>
      <c r="E705" s="162" t="s">
        <v>2116</v>
      </c>
      <c r="F705" s="1"/>
    </row>
    <row r="706" spans="1:6" x14ac:dyDescent="0.2">
      <c r="A706" s="194">
        <v>705</v>
      </c>
      <c r="B706" s="160" t="s">
        <v>770</v>
      </c>
      <c r="C706" s="161" t="s">
        <v>1579</v>
      </c>
      <c r="D706" s="161" t="s">
        <v>1050</v>
      </c>
      <c r="E706" s="162" t="s">
        <v>2116</v>
      </c>
      <c r="F706" s="1"/>
    </row>
    <row r="707" spans="1:6" x14ac:dyDescent="0.2">
      <c r="A707" s="194">
        <v>706</v>
      </c>
      <c r="B707" s="160" t="s">
        <v>771</v>
      </c>
      <c r="C707" s="161" t="s">
        <v>769</v>
      </c>
      <c r="D707" s="161" t="s">
        <v>1050</v>
      </c>
      <c r="E707" s="162" t="s">
        <v>2116</v>
      </c>
      <c r="F707" s="1"/>
    </row>
    <row r="708" spans="1:6" x14ac:dyDescent="0.2">
      <c r="A708" s="194">
        <v>707</v>
      </c>
      <c r="B708" s="160" t="s">
        <v>772</v>
      </c>
      <c r="C708" s="161" t="s">
        <v>773</v>
      </c>
      <c r="D708" s="161" t="s">
        <v>1050</v>
      </c>
      <c r="E708" s="162" t="s">
        <v>2116</v>
      </c>
      <c r="F708" s="1"/>
    </row>
    <row r="709" spans="1:6" x14ac:dyDescent="0.2">
      <c r="A709" s="194">
        <v>708</v>
      </c>
      <c r="B709" s="160" t="s">
        <v>774</v>
      </c>
      <c r="C709" s="161" t="s">
        <v>765</v>
      </c>
      <c r="D709" s="161" t="s">
        <v>1050</v>
      </c>
      <c r="E709" s="162" t="s">
        <v>2116</v>
      </c>
      <c r="F709" s="1"/>
    </row>
    <row r="710" spans="1:6" x14ac:dyDescent="0.2">
      <c r="A710" s="194">
        <v>709</v>
      </c>
      <c r="B710" s="160" t="s">
        <v>775</v>
      </c>
      <c r="C710" s="161" t="s">
        <v>1978</v>
      </c>
      <c r="D710" s="161" t="s">
        <v>1050</v>
      </c>
      <c r="E710" s="162" t="s">
        <v>2116</v>
      </c>
      <c r="F710" s="1"/>
    </row>
    <row r="711" spans="1:6" x14ac:dyDescent="0.2">
      <c r="A711" s="194">
        <v>710</v>
      </c>
      <c r="B711" s="160" t="s">
        <v>776</v>
      </c>
      <c r="C711" s="161" t="s">
        <v>1136</v>
      </c>
      <c r="D711" s="161" t="s">
        <v>1050</v>
      </c>
      <c r="E711" s="162" t="s">
        <v>2116</v>
      </c>
      <c r="F711" s="1"/>
    </row>
    <row r="712" spans="1:6" x14ac:dyDescent="0.2">
      <c r="A712" s="194">
        <v>711</v>
      </c>
      <c r="B712" s="160" t="s">
        <v>777</v>
      </c>
      <c r="C712" s="161" t="s">
        <v>778</v>
      </c>
      <c r="D712" s="161" t="s">
        <v>1050</v>
      </c>
      <c r="E712" s="162" t="s">
        <v>2116</v>
      </c>
      <c r="F712" s="1"/>
    </row>
    <row r="713" spans="1:6" x14ac:dyDescent="0.2">
      <c r="A713" s="194">
        <v>712</v>
      </c>
      <c r="B713" s="160" t="s">
        <v>2206</v>
      </c>
      <c r="C713" s="161" t="s">
        <v>769</v>
      </c>
      <c r="D713" s="161" t="s">
        <v>1050</v>
      </c>
      <c r="E713" s="162" t="s">
        <v>2116</v>
      </c>
      <c r="F713" s="1"/>
    </row>
    <row r="714" spans="1:6" x14ac:dyDescent="0.2">
      <c r="A714" s="194">
        <v>713</v>
      </c>
      <c r="B714" s="160" t="s">
        <v>779</v>
      </c>
      <c r="C714" s="161" t="s">
        <v>1580</v>
      </c>
      <c r="D714" s="161" t="s">
        <v>1050</v>
      </c>
      <c r="E714" s="162" t="s">
        <v>2116</v>
      </c>
      <c r="F714" s="1"/>
    </row>
    <row r="715" spans="1:6" x14ac:dyDescent="0.2">
      <c r="A715" s="194">
        <v>714</v>
      </c>
      <c r="B715" s="160" t="s">
        <v>1979</v>
      </c>
      <c r="C715" s="161" t="s">
        <v>1980</v>
      </c>
      <c r="D715" s="161" t="s">
        <v>1050</v>
      </c>
      <c r="E715" s="162" t="s">
        <v>2116</v>
      </c>
      <c r="F715" s="1"/>
    </row>
    <row r="716" spans="1:6" x14ac:dyDescent="0.2">
      <c r="A716" s="194">
        <v>715</v>
      </c>
      <c r="B716" s="160" t="s">
        <v>780</v>
      </c>
      <c r="C716" s="161" t="s">
        <v>662</v>
      </c>
      <c r="D716" s="161" t="s">
        <v>1051</v>
      </c>
      <c r="E716" s="162" t="s">
        <v>2354</v>
      </c>
      <c r="F716" s="1"/>
    </row>
    <row r="717" spans="1:6" x14ac:dyDescent="0.2">
      <c r="A717" s="194">
        <v>716</v>
      </c>
      <c r="B717" s="160" t="s">
        <v>1981</v>
      </c>
      <c r="C717" s="161" t="s">
        <v>782</v>
      </c>
      <c r="D717" s="161" t="s">
        <v>1070</v>
      </c>
      <c r="E717" s="162" t="s">
        <v>743</v>
      </c>
      <c r="F717" s="1"/>
    </row>
    <row r="718" spans="1:6" x14ac:dyDescent="0.2">
      <c r="A718" s="194">
        <v>717</v>
      </c>
      <c r="B718" s="160" t="s">
        <v>781</v>
      </c>
      <c r="C718" s="161" t="s">
        <v>782</v>
      </c>
      <c r="D718" s="161" t="s">
        <v>1070</v>
      </c>
      <c r="E718" s="162" t="s">
        <v>743</v>
      </c>
      <c r="F718" s="1"/>
    </row>
    <row r="719" spans="1:6" x14ac:dyDescent="0.2">
      <c r="A719" s="194">
        <v>718</v>
      </c>
      <c r="B719" s="160" t="s">
        <v>783</v>
      </c>
      <c r="C719" s="161" t="s">
        <v>784</v>
      </c>
      <c r="D719" s="161" t="s">
        <v>1050</v>
      </c>
      <c r="E719" s="162" t="s">
        <v>2116</v>
      </c>
      <c r="F719" s="1"/>
    </row>
    <row r="720" spans="1:6" x14ac:dyDescent="0.2">
      <c r="A720" s="194">
        <v>719</v>
      </c>
      <c r="B720" s="160" t="s">
        <v>785</v>
      </c>
      <c r="C720" s="161" t="s">
        <v>1137</v>
      </c>
      <c r="D720" s="161" t="s">
        <v>1051</v>
      </c>
      <c r="E720" s="162" t="s">
        <v>2123</v>
      </c>
      <c r="F720" s="1"/>
    </row>
    <row r="721" spans="1:6" x14ac:dyDescent="0.2">
      <c r="A721" s="194">
        <v>720</v>
      </c>
      <c r="B721" s="160" t="s">
        <v>787</v>
      </c>
      <c r="C721" s="161" t="s">
        <v>1982</v>
      </c>
      <c r="D721" s="161" t="s">
        <v>1070</v>
      </c>
      <c r="E721" s="162" t="s">
        <v>2123</v>
      </c>
      <c r="F721" s="1"/>
    </row>
    <row r="722" spans="1:6" x14ac:dyDescent="0.2">
      <c r="A722" s="194">
        <v>721</v>
      </c>
      <c r="B722" s="160" t="s">
        <v>788</v>
      </c>
      <c r="C722" s="161" t="s">
        <v>786</v>
      </c>
      <c r="D722" s="161" t="s">
        <v>1070</v>
      </c>
      <c r="E722" s="162" t="s">
        <v>2123</v>
      </c>
      <c r="F722" s="1"/>
    </row>
    <row r="723" spans="1:6" x14ac:dyDescent="0.2">
      <c r="A723" s="194">
        <v>722</v>
      </c>
      <c r="B723" s="160" t="s">
        <v>789</v>
      </c>
      <c r="C723" s="161" t="s">
        <v>790</v>
      </c>
      <c r="D723" s="161" t="s">
        <v>1051</v>
      </c>
      <c r="E723" s="162" t="s">
        <v>2123</v>
      </c>
      <c r="F723" s="1"/>
    </row>
    <row r="724" spans="1:6" x14ac:dyDescent="0.2">
      <c r="A724" s="194">
        <v>723</v>
      </c>
      <c r="B724" s="160" t="s">
        <v>791</v>
      </c>
      <c r="C724" s="161" t="s">
        <v>1983</v>
      </c>
      <c r="D724" s="161" t="s">
        <v>1070</v>
      </c>
      <c r="E724" s="162" t="s">
        <v>2123</v>
      </c>
      <c r="F724" s="1"/>
    </row>
    <row r="725" spans="1:6" x14ac:dyDescent="0.2">
      <c r="A725" s="194">
        <v>724</v>
      </c>
      <c r="B725" s="160" t="s">
        <v>792</v>
      </c>
      <c r="C725" s="161" t="s">
        <v>790</v>
      </c>
      <c r="D725" s="161" t="s">
        <v>1070</v>
      </c>
      <c r="E725" s="162" t="s">
        <v>2123</v>
      </c>
      <c r="F725" s="1"/>
    </row>
    <row r="726" spans="1:6" x14ac:dyDescent="0.2">
      <c r="A726" s="194">
        <v>725</v>
      </c>
      <c r="B726" s="160" t="s">
        <v>1984</v>
      </c>
      <c r="C726" s="161" t="s">
        <v>1560</v>
      </c>
      <c r="D726" s="161" t="s">
        <v>1070</v>
      </c>
      <c r="E726" s="162" t="s">
        <v>2123</v>
      </c>
      <c r="F726" s="1"/>
    </row>
    <row r="727" spans="1:6" x14ac:dyDescent="0.2">
      <c r="A727" s="194">
        <v>726</v>
      </c>
      <c r="B727" s="160" t="s">
        <v>793</v>
      </c>
      <c r="C727" s="161" t="s">
        <v>794</v>
      </c>
      <c r="D727" s="161" t="s">
        <v>1050</v>
      </c>
      <c r="E727" s="162" t="s">
        <v>2116</v>
      </c>
      <c r="F727" s="1"/>
    </row>
    <row r="728" spans="1:6" x14ac:dyDescent="0.2">
      <c r="A728" s="194">
        <v>727</v>
      </c>
      <c r="B728" s="160" t="s">
        <v>1581</v>
      </c>
      <c r="C728" s="161" t="s">
        <v>1582</v>
      </c>
      <c r="D728" s="161" t="s">
        <v>1050</v>
      </c>
      <c r="E728" s="162" t="s">
        <v>2116</v>
      </c>
      <c r="F728" s="1"/>
    </row>
    <row r="729" spans="1:6" x14ac:dyDescent="0.2">
      <c r="A729" s="194">
        <v>728</v>
      </c>
      <c r="B729" s="160" t="s">
        <v>2207</v>
      </c>
      <c r="C729" s="161" t="s">
        <v>2208</v>
      </c>
      <c r="D729" s="161" t="s">
        <v>1050</v>
      </c>
      <c r="E729" s="162" t="s">
        <v>2116</v>
      </c>
      <c r="F729" s="1"/>
    </row>
    <row r="730" spans="1:6" x14ac:dyDescent="0.2">
      <c r="A730" s="194">
        <v>729</v>
      </c>
      <c r="B730" s="160" t="s">
        <v>795</v>
      </c>
      <c r="C730" s="161" t="s">
        <v>796</v>
      </c>
      <c r="D730" s="161" t="s">
        <v>1050</v>
      </c>
      <c r="E730" s="162" t="s">
        <v>2116</v>
      </c>
      <c r="F730" s="1"/>
    </row>
    <row r="731" spans="1:6" x14ac:dyDescent="0.2">
      <c r="A731" s="194">
        <v>730</v>
      </c>
      <c r="B731" s="160" t="s">
        <v>797</v>
      </c>
      <c r="C731" s="161" t="s">
        <v>1138</v>
      </c>
      <c r="D731" s="161" t="s">
        <v>1050</v>
      </c>
      <c r="E731" s="162" t="s">
        <v>2116</v>
      </c>
      <c r="F731" s="1"/>
    </row>
    <row r="732" spans="1:6" x14ac:dyDescent="0.2">
      <c r="A732" s="194">
        <v>731</v>
      </c>
      <c r="B732" s="160" t="s">
        <v>798</v>
      </c>
      <c r="C732" s="161" t="s">
        <v>1583</v>
      </c>
      <c r="D732" s="161" t="s">
        <v>1050</v>
      </c>
      <c r="E732" s="162" t="s">
        <v>2116</v>
      </c>
      <c r="F732" s="1"/>
    </row>
    <row r="733" spans="1:6" x14ac:dyDescent="0.2">
      <c r="A733" s="194">
        <v>732</v>
      </c>
      <c r="B733" s="160" t="s">
        <v>799</v>
      </c>
      <c r="C733" s="161" t="s">
        <v>1139</v>
      </c>
      <c r="D733" s="161" t="s">
        <v>1050</v>
      </c>
      <c r="E733" s="162" t="s">
        <v>2116</v>
      </c>
      <c r="F733" s="1"/>
    </row>
    <row r="734" spans="1:6" x14ac:dyDescent="0.2">
      <c r="A734" s="194">
        <v>733</v>
      </c>
      <c r="B734" s="160" t="s">
        <v>800</v>
      </c>
      <c r="C734" s="161" t="s">
        <v>1584</v>
      </c>
      <c r="D734" s="161" t="s">
        <v>1050</v>
      </c>
      <c r="E734" s="162" t="s">
        <v>2116</v>
      </c>
      <c r="F734" s="1"/>
    </row>
    <row r="735" spans="1:6" x14ac:dyDescent="0.2">
      <c r="A735" s="194">
        <v>734</v>
      </c>
      <c r="B735" s="160" t="s">
        <v>801</v>
      </c>
      <c r="C735" s="161" t="s">
        <v>1985</v>
      </c>
      <c r="D735" s="161" t="s">
        <v>1050</v>
      </c>
      <c r="E735" s="162" t="s">
        <v>2116</v>
      </c>
      <c r="F735" s="1"/>
    </row>
    <row r="736" spans="1:6" x14ac:dyDescent="0.2">
      <c r="A736" s="194">
        <v>735</v>
      </c>
      <c r="B736" s="160" t="s">
        <v>802</v>
      </c>
      <c r="C736" s="161" t="s">
        <v>1138</v>
      </c>
      <c r="D736" s="161" t="s">
        <v>1050</v>
      </c>
      <c r="E736" s="162" t="s">
        <v>2116</v>
      </c>
      <c r="F736" s="1"/>
    </row>
    <row r="737" spans="1:6" x14ac:dyDescent="0.2">
      <c r="A737" s="194">
        <v>736</v>
      </c>
      <c r="B737" s="160" t="s">
        <v>803</v>
      </c>
      <c r="C737" s="161" t="s">
        <v>804</v>
      </c>
      <c r="D737" s="161" t="s">
        <v>1050</v>
      </c>
      <c r="E737" s="162" t="s">
        <v>2116</v>
      </c>
      <c r="F737" s="1"/>
    </row>
    <row r="738" spans="1:6" x14ac:dyDescent="0.2">
      <c r="A738" s="194">
        <v>737</v>
      </c>
      <c r="B738" s="160" t="s">
        <v>2209</v>
      </c>
      <c r="C738" s="161" t="s">
        <v>2210</v>
      </c>
      <c r="D738" s="161" t="s">
        <v>1050</v>
      </c>
      <c r="E738" s="162" t="s">
        <v>2116</v>
      </c>
      <c r="F738" s="1"/>
    </row>
    <row r="739" spans="1:6" x14ac:dyDescent="0.2">
      <c r="A739" s="194">
        <v>738</v>
      </c>
      <c r="B739" s="160" t="s">
        <v>805</v>
      </c>
      <c r="C739" s="161" t="s">
        <v>806</v>
      </c>
      <c r="D739" s="161" t="s">
        <v>1050</v>
      </c>
      <c r="E739" s="162" t="s">
        <v>2116</v>
      </c>
      <c r="F739" s="1"/>
    </row>
    <row r="740" spans="1:6" x14ac:dyDescent="0.2">
      <c r="A740" s="194">
        <v>739</v>
      </c>
      <c r="B740" s="160" t="s">
        <v>807</v>
      </c>
      <c r="C740" s="161" t="s">
        <v>808</v>
      </c>
      <c r="D740" s="161" t="s">
        <v>1051</v>
      </c>
      <c r="E740" s="162" t="s">
        <v>2116</v>
      </c>
      <c r="F740" s="1"/>
    </row>
    <row r="741" spans="1:6" x14ac:dyDescent="0.2">
      <c r="A741" s="194">
        <v>740</v>
      </c>
      <c r="B741" s="160" t="s">
        <v>809</v>
      </c>
      <c r="C741" s="161" t="s">
        <v>810</v>
      </c>
      <c r="D741" s="161" t="s">
        <v>1051</v>
      </c>
      <c r="E741" s="162" t="s">
        <v>2354</v>
      </c>
      <c r="F741" s="1"/>
    </row>
    <row r="742" spans="1:6" x14ac:dyDescent="0.2">
      <c r="A742" s="194">
        <v>741</v>
      </c>
      <c r="B742" s="160" t="s">
        <v>1986</v>
      </c>
      <c r="C742" s="161" t="s">
        <v>811</v>
      </c>
      <c r="D742" s="161" t="s">
        <v>1051</v>
      </c>
      <c r="E742" s="162" t="s">
        <v>2116</v>
      </c>
      <c r="F742" s="1"/>
    </row>
    <row r="743" spans="1:6" x14ac:dyDescent="0.2">
      <c r="A743" s="194">
        <v>742</v>
      </c>
      <c r="B743" s="160" t="s">
        <v>812</v>
      </c>
      <c r="C743" s="161" t="s">
        <v>813</v>
      </c>
      <c r="D743" s="161" t="s">
        <v>1051</v>
      </c>
      <c r="E743" s="162" t="s">
        <v>2115</v>
      </c>
      <c r="F743" s="1"/>
    </row>
    <row r="744" spans="1:6" x14ac:dyDescent="0.2">
      <c r="A744" s="194">
        <v>743</v>
      </c>
      <c r="B744" s="160" t="s">
        <v>814</v>
      </c>
      <c r="C744" s="161" t="s">
        <v>815</v>
      </c>
      <c r="D744" s="161" t="s">
        <v>1051</v>
      </c>
      <c r="E744" s="162" t="s">
        <v>2115</v>
      </c>
      <c r="F744" s="1"/>
    </row>
    <row r="745" spans="1:6" x14ac:dyDescent="0.2">
      <c r="A745" s="194">
        <v>744</v>
      </c>
      <c r="B745" s="160" t="s">
        <v>816</v>
      </c>
      <c r="C745" s="161" t="s">
        <v>817</v>
      </c>
      <c r="D745" s="161" t="s">
        <v>1051</v>
      </c>
      <c r="E745" s="162" t="s">
        <v>2115</v>
      </c>
      <c r="F745" s="1"/>
    </row>
    <row r="746" spans="1:6" x14ac:dyDescent="0.2">
      <c r="A746" s="194">
        <v>745</v>
      </c>
      <c r="B746" s="160" t="s">
        <v>818</v>
      </c>
      <c r="C746" s="161" t="s">
        <v>819</v>
      </c>
      <c r="D746" s="161" t="s">
        <v>1051</v>
      </c>
      <c r="E746" s="162" t="s">
        <v>2115</v>
      </c>
      <c r="F746" s="1"/>
    </row>
    <row r="747" spans="1:6" x14ac:dyDescent="0.2">
      <c r="A747" s="194">
        <v>746</v>
      </c>
      <c r="B747" s="160" t="s">
        <v>820</v>
      </c>
      <c r="C747" s="161" t="s">
        <v>2291</v>
      </c>
      <c r="D747" s="161" t="s">
        <v>1050</v>
      </c>
      <c r="E747" s="162" t="s">
        <v>2115</v>
      </c>
      <c r="F747" s="1"/>
    </row>
    <row r="748" spans="1:6" x14ac:dyDescent="0.2">
      <c r="A748" s="194">
        <v>747</v>
      </c>
      <c r="B748" s="160" t="s">
        <v>821</v>
      </c>
      <c r="C748" s="161" t="s">
        <v>1585</v>
      </c>
      <c r="D748" s="161" t="s">
        <v>1051</v>
      </c>
      <c r="E748" s="162" t="s">
        <v>2116</v>
      </c>
      <c r="F748" s="1"/>
    </row>
    <row r="749" spans="1:6" x14ac:dyDescent="0.2">
      <c r="A749" s="194">
        <v>748</v>
      </c>
      <c r="B749" s="160" t="s">
        <v>822</v>
      </c>
      <c r="C749" s="161" t="s">
        <v>823</v>
      </c>
      <c r="D749" s="161" t="s">
        <v>1070</v>
      </c>
      <c r="E749" s="162" t="s">
        <v>2116</v>
      </c>
      <c r="F749" s="1"/>
    </row>
    <row r="750" spans="1:6" x14ac:dyDescent="0.2">
      <c r="A750" s="194">
        <v>749</v>
      </c>
      <c r="B750" s="160" t="s">
        <v>2211</v>
      </c>
      <c r="C750" s="161" t="s">
        <v>2212</v>
      </c>
      <c r="D750" s="161" t="s">
        <v>1050</v>
      </c>
      <c r="E750" s="162" t="s">
        <v>2115</v>
      </c>
      <c r="F750" s="1"/>
    </row>
    <row r="751" spans="1:6" x14ac:dyDescent="0.2">
      <c r="A751" s="194">
        <v>750</v>
      </c>
      <c r="B751" s="173" t="s">
        <v>2327</v>
      </c>
      <c r="C751" s="174" t="s">
        <v>2328</v>
      </c>
      <c r="D751" s="174" t="s">
        <v>1050</v>
      </c>
      <c r="E751" s="174" t="s">
        <v>2115</v>
      </c>
      <c r="F751" s="1"/>
    </row>
    <row r="752" spans="1:6" x14ac:dyDescent="0.2">
      <c r="A752" s="194">
        <v>751</v>
      </c>
      <c r="B752" s="160" t="s">
        <v>824</v>
      </c>
      <c r="C752" s="161" t="s">
        <v>825</v>
      </c>
      <c r="D752" s="161" t="s">
        <v>1070</v>
      </c>
      <c r="E752" s="162" t="s">
        <v>2115</v>
      </c>
      <c r="F752" s="1"/>
    </row>
    <row r="753" spans="1:6" x14ac:dyDescent="0.2">
      <c r="A753" s="194">
        <v>752</v>
      </c>
      <c r="B753" s="160" t="s">
        <v>826</v>
      </c>
      <c r="C753" s="161" t="s">
        <v>827</v>
      </c>
      <c r="D753" s="161" t="s">
        <v>1051</v>
      </c>
      <c r="E753" s="162" t="s">
        <v>2115</v>
      </c>
      <c r="F753" s="1"/>
    </row>
    <row r="754" spans="1:6" x14ac:dyDescent="0.2">
      <c r="A754" s="194">
        <v>753</v>
      </c>
      <c r="B754" s="160" t="s">
        <v>2245</v>
      </c>
      <c r="C754" s="161" t="s">
        <v>827</v>
      </c>
      <c r="D754" s="161" t="s">
        <v>1051</v>
      </c>
      <c r="E754" s="162" t="s">
        <v>2115</v>
      </c>
      <c r="F754" s="1"/>
    </row>
    <row r="755" spans="1:6" x14ac:dyDescent="0.2">
      <c r="A755" s="194">
        <v>754</v>
      </c>
      <c r="B755" s="160" t="s">
        <v>828</v>
      </c>
      <c r="C755" s="161" t="s">
        <v>1987</v>
      </c>
      <c r="D755" s="161" t="s">
        <v>1051</v>
      </c>
      <c r="E755" s="162" t="s">
        <v>2115</v>
      </c>
      <c r="F755" s="1"/>
    </row>
    <row r="756" spans="1:6" x14ac:dyDescent="0.2">
      <c r="A756" s="194">
        <v>755</v>
      </c>
      <c r="B756" s="160" t="s">
        <v>829</v>
      </c>
      <c r="C756" s="161" t="s">
        <v>830</v>
      </c>
      <c r="D756" s="161" t="s">
        <v>1051</v>
      </c>
      <c r="E756" s="162" t="s">
        <v>2115</v>
      </c>
      <c r="F756" s="1"/>
    </row>
    <row r="757" spans="1:6" x14ac:dyDescent="0.2">
      <c r="A757" s="194">
        <v>756</v>
      </c>
      <c r="B757" s="160" t="s">
        <v>831</v>
      </c>
      <c r="C757" s="161" t="s">
        <v>832</v>
      </c>
      <c r="D757" s="161" t="s">
        <v>1050</v>
      </c>
      <c r="E757" s="162" t="s">
        <v>2116</v>
      </c>
      <c r="F757" s="1"/>
    </row>
    <row r="758" spans="1:6" x14ac:dyDescent="0.2">
      <c r="A758" s="194">
        <v>757</v>
      </c>
      <c r="B758" s="160" t="s">
        <v>2213</v>
      </c>
      <c r="C758" s="161" t="s">
        <v>832</v>
      </c>
      <c r="D758" s="161" t="s">
        <v>1050</v>
      </c>
      <c r="E758" s="162" t="s">
        <v>2116</v>
      </c>
      <c r="F758" s="1"/>
    </row>
    <row r="759" spans="1:6" x14ac:dyDescent="0.2">
      <c r="A759" s="194">
        <v>758</v>
      </c>
      <c r="B759" s="160" t="s">
        <v>833</v>
      </c>
      <c r="C759" s="161" t="s">
        <v>834</v>
      </c>
      <c r="D759" s="161" t="s">
        <v>1070</v>
      </c>
      <c r="E759" s="162" t="s">
        <v>2115</v>
      </c>
      <c r="F759" s="1"/>
    </row>
    <row r="760" spans="1:6" x14ac:dyDescent="0.2">
      <c r="A760" s="194">
        <v>759</v>
      </c>
      <c r="B760" s="160" t="s">
        <v>1988</v>
      </c>
      <c r="C760" s="161" t="s">
        <v>835</v>
      </c>
      <c r="D760" s="161" t="s">
        <v>1050</v>
      </c>
      <c r="E760" s="162" t="s">
        <v>2115</v>
      </c>
      <c r="F760" s="1"/>
    </row>
    <row r="761" spans="1:6" x14ac:dyDescent="0.2">
      <c r="A761" s="194">
        <v>760</v>
      </c>
      <c r="B761" s="160" t="s">
        <v>2214</v>
      </c>
      <c r="C761" s="161" t="s">
        <v>2215</v>
      </c>
      <c r="D761" s="161" t="s">
        <v>1050</v>
      </c>
      <c r="E761" s="162" t="s">
        <v>2115</v>
      </c>
      <c r="F761" s="1"/>
    </row>
    <row r="762" spans="1:6" x14ac:dyDescent="0.2">
      <c r="A762" s="194">
        <v>761</v>
      </c>
      <c r="B762" s="160" t="s">
        <v>836</v>
      </c>
      <c r="C762" s="161" t="s">
        <v>835</v>
      </c>
      <c r="D762" s="161" t="s">
        <v>1050</v>
      </c>
      <c r="E762" s="162" t="s">
        <v>2115</v>
      </c>
      <c r="F762" s="1"/>
    </row>
    <row r="763" spans="1:6" x14ac:dyDescent="0.2">
      <c r="A763" s="194">
        <v>762</v>
      </c>
      <c r="B763" s="160" t="s">
        <v>837</v>
      </c>
      <c r="C763" s="161" t="s">
        <v>838</v>
      </c>
      <c r="D763" s="161" t="s">
        <v>1050</v>
      </c>
      <c r="E763" s="162" t="s">
        <v>2115</v>
      </c>
      <c r="F763" s="1"/>
    </row>
    <row r="764" spans="1:6" x14ac:dyDescent="0.2">
      <c r="A764" s="194">
        <v>763</v>
      </c>
      <c r="B764" s="160" t="s">
        <v>2366</v>
      </c>
      <c r="C764" s="161" t="s">
        <v>2367</v>
      </c>
      <c r="D764" s="161" t="s">
        <v>1050</v>
      </c>
      <c r="E764" s="164" t="s">
        <v>2115</v>
      </c>
      <c r="F764" s="1"/>
    </row>
    <row r="765" spans="1:6" x14ac:dyDescent="0.2">
      <c r="A765" s="194">
        <v>764</v>
      </c>
      <c r="B765" s="160" t="s">
        <v>1989</v>
      </c>
      <c r="C765" s="161" t="s">
        <v>1990</v>
      </c>
      <c r="D765" s="161" t="s">
        <v>1050</v>
      </c>
      <c r="E765" s="162" t="s">
        <v>696</v>
      </c>
      <c r="F765" s="1"/>
    </row>
    <row r="766" spans="1:6" x14ac:dyDescent="0.2">
      <c r="A766" s="194">
        <v>765</v>
      </c>
      <c r="B766" s="160" t="s">
        <v>839</v>
      </c>
      <c r="C766" s="161" t="s">
        <v>840</v>
      </c>
      <c r="D766" s="161" t="s">
        <v>1050</v>
      </c>
      <c r="E766" s="162" t="s">
        <v>2115</v>
      </c>
      <c r="F766" s="1"/>
    </row>
    <row r="767" spans="1:6" x14ac:dyDescent="0.2">
      <c r="A767" s="194">
        <v>766</v>
      </c>
      <c r="B767" s="160" t="s">
        <v>841</v>
      </c>
      <c r="C767" s="161" t="s">
        <v>842</v>
      </c>
      <c r="D767" s="161" t="s">
        <v>1051</v>
      </c>
      <c r="E767" s="162" t="s">
        <v>2115</v>
      </c>
      <c r="F767" s="1"/>
    </row>
    <row r="768" spans="1:6" x14ac:dyDescent="0.2">
      <c r="A768" s="194">
        <v>767</v>
      </c>
      <c r="B768" s="160" t="s">
        <v>2329</v>
      </c>
      <c r="C768" s="161" t="s">
        <v>1991</v>
      </c>
      <c r="D768" s="161" t="s">
        <v>1051</v>
      </c>
      <c r="E768" s="162" t="s">
        <v>743</v>
      </c>
      <c r="F768" s="1"/>
    </row>
    <row r="769" spans="1:6" x14ac:dyDescent="0.2">
      <c r="A769" s="194">
        <v>768</v>
      </c>
      <c r="B769" s="160" t="s">
        <v>1992</v>
      </c>
      <c r="C769" s="161" t="s">
        <v>1993</v>
      </c>
      <c r="D769" s="161" t="s">
        <v>1070</v>
      </c>
      <c r="E769" s="162" t="s">
        <v>743</v>
      </c>
      <c r="F769" s="1"/>
    </row>
    <row r="770" spans="1:6" x14ac:dyDescent="0.2">
      <c r="A770" s="194">
        <v>769</v>
      </c>
      <c r="B770" s="160" t="s">
        <v>843</v>
      </c>
      <c r="C770" s="161" t="s">
        <v>844</v>
      </c>
      <c r="D770" s="161" t="s">
        <v>1050</v>
      </c>
      <c r="E770" s="162" t="s">
        <v>2354</v>
      </c>
      <c r="F770" s="1"/>
    </row>
    <row r="771" spans="1:6" x14ac:dyDescent="0.2">
      <c r="A771" s="194">
        <v>770</v>
      </c>
      <c r="B771" s="160" t="s">
        <v>845</v>
      </c>
      <c r="C771" s="161" t="s">
        <v>1586</v>
      </c>
      <c r="D771" s="161" t="s">
        <v>1050</v>
      </c>
      <c r="E771" s="162" t="s">
        <v>2116</v>
      </c>
      <c r="F771" s="1"/>
    </row>
    <row r="772" spans="1:6" x14ac:dyDescent="0.2">
      <c r="A772" s="194">
        <v>771</v>
      </c>
      <c r="B772" s="160" t="s">
        <v>846</v>
      </c>
      <c r="C772" s="161" t="s">
        <v>1587</v>
      </c>
      <c r="D772" s="161" t="s">
        <v>1050</v>
      </c>
      <c r="E772" s="162" t="s">
        <v>2116</v>
      </c>
      <c r="F772" s="1"/>
    </row>
    <row r="773" spans="1:6" x14ac:dyDescent="0.2">
      <c r="A773" s="194">
        <v>772</v>
      </c>
      <c r="B773" s="160" t="s">
        <v>847</v>
      </c>
      <c r="C773" s="161" t="s">
        <v>1588</v>
      </c>
      <c r="D773" s="161" t="s">
        <v>1050</v>
      </c>
      <c r="E773" s="162" t="s">
        <v>2116</v>
      </c>
      <c r="F773" s="1"/>
    </row>
    <row r="774" spans="1:6" x14ac:dyDescent="0.2">
      <c r="A774" s="194">
        <v>773</v>
      </c>
      <c r="B774" s="160" t="s">
        <v>848</v>
      </c>
      <c r="C774" s="161" t="s">
        <v>1589</v>
      </c>
      <c r="D774" s="161" t="s">
        <v>1050</v>
      </c>
      <c r="E774" s="162" t="s">
        <v>2116</v>
      </c>
      <c r="F774" s="1"/>
    </row>
    <row r="775" spans="1:6" x14ac:dyDescent="0.2">
      <c r="A775" s="194">
        <v>774</v>
      </c>
      <c r="B775" s="160" t="s">
        <v>849</v>
      </c>
      <c r="C775" s="161" t="s">
        <v>850</v>
      </c>
      <c r="D775" s="161" t="s">
        <v>1050</v>
      </c>
      <c r="E775" s="162" t="s">
        <v>2116</v>
      </c>
      <c r="F775" s="1"/>
    </row>
    <row r="776" spans="1:6" x14ac:dyDescent="0.2">
      <c r="A776" s="194">
        <v>775</v>
      </c>
      <c r="B776" s="160" t="s">
        <v>851</v>
      </c>
      <c r="C776" s="161" t="s">
        <v>1590</v>
      </c>
      <c r="D776" s="161" t="s">
        <v>1051</v>
      </c>
      <c r="E776" s="162" t="s">
        <v>2116</v>
      </c>
      <c r="F776" s="1"/>
    </row>
    <row r="777" spans="1:6" x14ac:dyDescent="0.2">
      <c r="A777" s="194">
        <v>776</v>
      </c>
      <c r="B777" s="160" t="s">
        <v>852</v>
      </c>
      <c r="C777" s="161" t="s">
        <v>1591</v>
      </c>
      <c r="D777" s="161" t="s">
        <v>1050</v>
      </c>
      <c r="E777" s="162" t="s">
        <v>2116</v>
      </c>
      <c r="F777" s="1"/>
    </row>
    <row r="778" spans="1:6" x14ac:dyDescent="0.2">
      <c r="A778" s="194">
        <v>777</v>
      </c>
      <c r="B778" s="160" t="s">
        <v>2216</v>
      </c>
      <c r="C778" s="161" t="s">
        <v>2217</v>
      </c>
      <c r="D778" s="161" t="s">
        <v>1050</v>
      </c>
      <c r="E778" s="162" t="s">
        <v>2116</v>
      </c>
      <c r="F778" s="1"/>
    </row>
    <row r="779" spans="1:6" x14ac:dyDescent="0.2">
      <c r="A779" s="194">
        <v>778</v>
      </c>
      <c r="B779" s="160" t="s">
        <v>853</v>
      </c>
      <c r="C779" s="161" t="s">
        <v>1592</v>
      </c>
      <c r="D779" s="161" t="s">
        <v>1050</v>
      </c>
      <c r="E779" s="162" t="s">
        <v>2116</v>
      </c>
      <c r="F779" s="1"/>
    </row>
    <row r="780" spans="1:6" x14ac:dyDescent="0.2">
      <c r="A780" s="194">
        <v>779</v>
      </c>
      <c r="B780" s="160" t="s">
        <v>854</v>
      </c>
      <c r="C780" s="161" t="s">
        <v>1994</v>
      </c>
      <c r="D780" s="161" t="s">
        <v>1051</v>
      </c>
      <c r="E780" s="162" t="s">
        <v>2115</v>
      </c>
      <c r="F780" s="1"/>
    </row>
    <row r="781" spans="1:6" x14ac:dyDescent="0.2">
      <c r="A781" s="194">
        <v>780</v>
      </c>
      <c r="B781" s="160" t="s">
        <v>855</v>
      </c>
      <c r="C781" s="161" t="s">
        <v>856</v>
      </c>
      <c r="D781" s="161" t="s">
        <v>1050</v>
      </c>
      <c r="E781" s="162" t="s">
        <v>2354</v>
      </c>
      <c r="F781" s="1"/>
    </row>
    <row r="782" spans="1:6" x14ac:dyDescent="0.2">
      <c r="A782" s="194">
        <v>781</v>
      </c>
      <c r="B782" s="160" t="s">
        <v>857</v>
      </c>
      <c r="C782" s="161" t="s">
        <v>858</v>
      </c>
      <c r="D782" s="161" t="s">
        <v>1070</v>
      </c>
      <c r="E782" s="162" t="s">
        <v>2115</v>
      </c>
      <c r="F782" s="1"/>
    </row>
    <row r="783" spans="1:6" x14ac:dyDescent="0.2">
      <c r="A783" s="194">
        <v>782</v>
      </c>
      <c r="B783" s="160" t="s">
        <v>859</v>
      </c>
      <c r="C783" s="161" t="s">
        <v>1593</v>
      </c>
      <c r="D783" s="161" t="s">
        <v>1050</v>
      </c>
      <c r="E783" s="162" t="s">
        <v>2115</v>
      </c>
      <c r="F783" s="1"/>
    </row>
    <row r="784" spans="1:6" x14ac:dyDescent="0.2">
      <c r="A784" s="194">
        <v>783</v>
      </c>
      <c r="B784" s="160" t="s">
        <v>860</v>
      </c>
      <c r="C784" s="161" t="s">
        <v>1995</v>
      </c>
      <c r="D784" s="161" t="s">
        <v>1070</v>
      </c>
      <c r="E784" s="162" t="s">
        <v>2115</v>
      </c>
      <c r="F784" s="1"/>
    </row>
    <row r="785" spans="1:9" x14ac:dyDescent="0.2">
      <c r="A785" s="194">
        <v>784</v>
      </c>
      <c r="B785" s="160" t="s">
        <v>861</v>
      </c>
      <c r="C785" s="161" t="s">
        <v>1996</v>
      </c>
      <c r="D785" s="161" t="s">
        <v>1050</v>
      </c>
      <c r="E785" s="162" t="s">
        <v>2116</v>
      </c>
      <c r="F785" s="1"/>
    </row>
    <row r="786" spans="1:9" ht="10.5" customHeight="1" x14ac:dyDescent="0.2">
      <c r="A786" s="194">
        <v>785</v>
      </c>
      <c r="B786" s="160" t="s">
        <v>862</v>
      </c>
      <c r="C786" s="161" t="s">
        <v>1595</v>
      </c>
      <c r="D786" s="161" t="s">
        <v>1051</v>
      </c>
      <c r="E786" s="162" t="s">
        <v>2116</v>
      </c>
      <c r="F786" s="1"/>
      <c r="G786" s="76"/>
      <c r="H786" s="76"/>
      <c r="I786" s="76"/>
    </row>
    <row r="787" spans="1:9" ht="10.5" customHeight="1" x14ac:dyDescent="0.2">
      <c r="A787" s="194">
        <v>786</v>
      </c>
      <c r="B787" s="160" t="s">
        <v>863</v>
      </c>
      <c r="C787" s="161" t="s">
        <v>864</v>
      </c>
      <c r="D787" s="161" t="s">
        <v>1051</v>
      </c>
      <c r="E787" s="162" t="s">
        <v>2116</v>
      </c>
      <c r="F787" s="1"/>
      <c r="G787" s="76"/>
      <c r="H787" s="76"/>
      <c r="I787" s="76"/>
    </row>
    <row r="788" spans="1:9" ht="10.5" customHeight="1" x14ac:dyDescent="0.2">
      <c r="A788" s="194">
        <v>787</v>
      </c>
      <c r="B788" s="160" t="s">
        <v>865</v>
      </c>
      <c r="C788" s="161" t="s">
        <v>866</v>
      </c>
      <c r="D788" s="161" t="s">
        <v>1070</v>
      </c>
      <c r="E788" s="162" t="s">
        <v>2116</v>
      </c>
      <c r="F788" s="1"/>
      <c r="G788" s="76"/>
      <c r="H788" s="76"/>
      <c r="I788" s="76"/>
    </row>
    <row r="789" spans="1:9" ht="10.5" customHeight="1" x14ac:dyDescent="0.2">
      <c r="A789" s="194">
        <v>788</v>
      </c>
      <c r="B789" s="160" t="s">
        <v>867</v>
      </c>
      <c r="C789" s="161" t="s">
        <v>868</v>
      </c>
      <c r="D789" s="161" t="s">
        <v>1051</v>
      </c>
      <c r="E789" s="162" t="s">
        <v>2116</v>
      </c>
      <c r="F789" s="1"/>
      <c r="G789" s="76"/>
      <c r="H789" s="76"/>
      <c r="I789" s="76"/>
    </row>
    <row r="790" spans="1:9" ht="10.5" customHeight="1" x14ac:dyDescent="0.2">
      <c r="A790" s="194">
        <v>789</v>
      </c>
      <c r="B790" s="160" t="s">
        <v>869</v>
      </c>
      <c r="C790" s="161" t="s">
        <v>1997</v>
      </c>
      <c r="D790" s="161" t="s">
        <v>1051</v>
      </c>
      <c r="E790" s="162" t="s">
        <v>2116</v>
      </c>
      <c r="F790" s="1"/>
      <c r="G790" s="76"/>
      <c r="H790" s="76"/>
      <c r="I790" s="76"/>
    </row>
    <row r="791" spans="1:9" ht="10.5" customHeight="1" x14ac:dyDescent="0.2">
      <c r="A791" s="194">
        <v>790</v>
      </c>
      <c r="B791" s="160" t="s">
        <v>2368</v>
      </c>
      <c r="C791" s="161" t="s">
        <v>2369</v>
      </c>
      <c r="D791" s="161" t="s">
        <v>2370</v>
      </c>
      <c r="E791" s="164" t="s">
        <v>2115</v>
      </c>
      <c r="F791" s="1"/>
      <c r="G791" s="76"/>
      <c r="H791" s="76"/>
      <c r="I791" s="76"/>
    </row>
    <row r="792" spans="1:9" ht="10.5" customHeight="1" x14ac:dyDescent="0.2">
      <c r="A792" s="194">
        <v>791</v>
      </c>
      <c r="B792" s="160" t="s">
        <v>870</v>
      </c>
      <c r="C792" s="161" t="s">
        <v>868</v>
      </c>
      <c r="D792" s="161" t="s">
        <v>1051</v>
      </c>
      <c r="E792" s="162" t="s">
        <v>2116</v>
      </c>
      <c r="F792" s="1"/>
      <c r="G792" s="76"/>
      <c r="H792" s="76"/>
      <c r="I792" s="76"/>
    </row>
    <row r="793" spans="1:9" ht="10.5" customHeight="1" x14ac:dyDescent="0.2">
      <c r="A793" s="194">
        <v>792</v>
      </c>
      <c r="B793" s="160" t="s">
        <v>871</v>
      </c>
      <c r="C793" s="161" t="s">
        <v>1998</v>
      </c>
      <c r="D793" s="161" t="s">
        <v>1051</v>
      </c>
      <c r="E793" s="162" t="s">
        <v>2116</v>
      </c>
      <c r="F793" s="1"/>
      <c r="G793" s="76"/>
      <c r="H793" s="76"/>
      <c r="I793" s="76"/>
    </row>
    <row r="794" spans="1:9" ht="10.5" customHeight="1" x14ac:dyDescent="0.2">
      <c r="A794" s="194">
        <v>793</v>
      </c>
      <c r="B794" s="160" t="s">
        <v>2218</v>
      </c>
      <c r="C794" s="161" t="s">
        <v>2219</v>
      </c>
      <c r="D794" s="161" t="s">
        <v>1051</v>
      </c>
      <c r="E794" s="162" t="s">
        <v>2116</v>
      </c>
      <c r="F794" s="1"/>
      <c r="G794" s="76"/>
      <c r="H794" s="76"/>
      <c r="I794" s="76"/>
    </row>
    <row r="795" spans="1:9" ht="10.5" customHeight="1" x14ac:dyDescent="0.2">
      <c r="A795" s="194">
        <v>794</v>
      </c>
      <c r="B795" s="160" t="s">
        <v>872</v>
      </c>
      <c r="C795" s="161" t="s">
        <v>1140</v>
      </c>
      <c r="D795" s="161" t="s">
        <v>1050</v>
      </c>
      <c r="E795" s="162" t="s">
        <v>2116</v>
      </c>
      <c r="F795" s="1"/>
      <c r="G795" s="76"/>
      <c r="H795" s="76"/>
      <c r="I795" s="76"/>
    </row>
    <row r="796" spans="1:9" ht="10.5" customHeight="1" x14ac:dyDescent="0.2">
      <c r="A796" s="194">
        <v>795</v>
      </c>
      <c r="B796" s="160" t="s">
        <v>873</v>
      </c>
      <c r="C796" s="161" t="s">
        <v>874</v>
      </c>
      <c r="D796" s="161" t="s">
        <v>1051</v>
      </c>
      <c r="E796" s="162" t="s">
        <v>2354</v>
      </c>
      <c r="F796" s="1"/>
      <c r="G796" s="76"/>
      <c r="H796" s="76"/>
      <c r="I796" s="76"/>
    </row>
    <row r="797" spans="1:9" ht="10.5" customHeight="1" x14ac:dyDescent="0.2">
      <c r="A797" s="194">
        <v>796</v>
      </c>
      <c r="B797" s="160" t="s">
        <v>875</v>
      </c>
      <c r="C797" s="161" t="s">
        <v>876</v>
      </c>
      <c r="D797" s="161" t="s">
        <v>1070</v>
      </c>
      <c r="E797" s="162" t="s">
        <v>2115</v>
      </c>
      <c r="F797" s="1"/>
      <c r="G797" s="76"/>
      <c r="H797" s="76"/>
      <c r="I797" s="76"/>
    </row>
    <row r="798" spans="1:9" ht="10.5" customHeight="1" x14ac:dyDescent="0.2">
      <c r="A798" s="194">
        <v>797</v>
      </c>
      <c r="B798" s="160" t="s">
        <v>1999</v>
      </c>
      <c r="C798" s="161" t="s">
        <v>2000</v>
      </c>
      <c r="D798" s="161" t="s">
        <v>1070</v>
      </c>
      <c r="E798" s="162" t="s">
        <v>2354</v>
      </c>
      <c r="F798" s="1"/>
      <c r="G798" s="76"/>
      <c r="H798" s="76"/>
      <c r="I798" s="76"/>
    </row>
    <row r="799" spans="1:9" ht="10.5" customHeight="1" x14ac:dyDescent="0.2">
      <c r="A799" s="194">
        <v>798</v>
      </c>
      <c r="B799" s="160" t="s">
        <v>877</v>
      </c>
      <c r="C799" s="161" t="s">
        <v>878</v>
      </c>
      <c r="D799" s="161" t="s">
        <v>1051</v>
      </c>
      <c r="E799" s="162" t="s">
        <v>2115</v>
      </c>
      <c r="F799" s="1"/>
      <c r="G799" s="76"/>
      <c r="H799" s="76"/>
      <c r="I799" s="76"/>
    </row>
    <row r="800" spans="1:9" ht="10.5" customHeight="1" x14ac:dyDescent="0.2">
      <c r="A800" s="194">
        <v>799</v>
      </c>
      <c r="B800" s="160" t="s">
        <v>879</v>
      </c>
      <c r="C800" s="161" t="s">
        <v>2001</v>
      </c>
      <c r="D800" s="161" t="s">
        <v>1051</v>
      </c>
      <c r="E800" s="162" t="s">
        <v>2354</v>
      </c>
      <c r="F800" s="1"/>
      <c r="G800" s="76"/>
      <c r="H800" s="76"/>
      <c r="I800" s="76"/>
    </row>
    <row r="801" spans="1:9" ht="10.5" customHeight="1" x14ac:dyDescent="0.2">
      <c r="A801" s="194">
        <v>800</v>
      </c>
      <c r="B801" s="160" t="s">
        <v>880</v>
      </c>
      <c r="C801" s="161" t="s">
        <v>2002</v>
      </c>
      <c r="D801" s="161" t="s">
        <v>1051</v>
      </c>
      <c r="E801" s="162" t="s">
        <v>2115</v>
      </c>
      <c r="F801" s="1"/>
      <c r="G801" s="76"/>
      <c r="H801" s="76"/>
      <c r="I801" s="76"/>
    </row>
    <row r="802" spans="1:9" ht="10.5" customHeight="1" x14ac:dyDescent="0.2">
      <c r="A802" s="194">
        <v>801</v>
      </c>
      <c r="B802" s="160" t="s">
        <v>881</v>
      </c>
      <c r="C802" s="161" t="s">
        <v>885</v>
      </c>
      <c r="D802" s="161" t="s">
        <v>1051</v>
      </c>
      <c r="E802" s="162" t="s">
        <v>2115</v>
      </c>
      <c r="F802" s="1"/>
      <c r="G802" s="76"/>
      <c r="H802" s="76"/>
      <c r="I802" s="76"/>
    </row>
    <row r="803" spans="1:9" ht="10.5" customHeight="1" x14ac:dyDescent="0.2">
      <c r="A803" s="194">
        <v>802</v>
      </c>
      <c r="B803" s="160" t="s">
        <v>2003</v>
      </c>
      <c r="C803" s="161" t="s">
        <v>176</v>
      </c>
      <c r="D803" s="161" t="s">
        <v>1051</v>
      </c>
      <c r="E803" s="162" t="s">
        <v>2116</v>
      </c>
      <c r="F803" s="1"/>
      <c r="G803" s="76"/>
      <c r="H803" s="76"/>
      <c r="I803" s="76"/>
    </row>
    <row r="804" spans="1:9" ht="10.5" customHeight="1" x14ac:dyDescent="0.2">
      <c r="A804" s="194">
        <v>803</v>
      </c>
      <c r="B804" s="160" t="s">
        <v>882</v>
      </c>
      <c r="C804" s="161" t="s">
        <v>883</v>
      </c>
      <c r="D804" s="161" t="s">
        <v>1051</v>
      </c>
      <c r="E804" s="162" t="s">
        <v>2116</v>
      </c>
      <c r="F804" s="1"/>
      <c r="G804" s="76"/>
      <c r="H804" s="76"/>
      <c r="I804" s="76"/>
    </row>
    <row r="805" spans="1:9" ht="10.5" customHeight="1" x14ac:dyDescent="0.2">
      <c r="A805" s="194">
        <v>804</v>
      </c>
      <c r="B805" s="160" t="s">
        <v>2004</v>
      </c>
      <c r="C805" s="161" t="s">
        <v>883</v>
      </c>
      <c r="D805" s="161" t="s">
        <v>1051</v>
      </c>
      <c r="E805" s="162" t="s">
        <v>2116</v>
      </c>
      <c r="F805" s="1"/>
      <c r="G805" s="76"/>
      <c r="H805" s="76"/>
      <c r="I805" s="76"/>
    </row>
    <row r="806" spans="1:9" ht="10.5" customHeight="1" x14ac:dyDescent="0.2">
      <c r="A806" s="194">
        <v>805</v>
      </c>
      <c r="B806" s="160" t="s">
        <v>884</v>
      </c>
      <c r="C806" s="161" t="s">
        <v>885</v>
      </c>
      <c r="D806" s="161" t="s">
        <v>1050</v>
      </c>
      <c r="E806" s="162" t="s">
        <v>2116</v>
      </c>
      <c r="F806" s="1"/>
      <c r="G806" s="76"/>
      <c r="H806" s="76"/>
      <c r="I806" s="76"/>
    </row>
    <row r="807" spans="1:9" ht="10.5" customHeight="1" x14ac:dyDescent="0.2">
      <c r="A807" s="194">
        <v>806</v>
      </c>
      <c r="B807" s="160" t="s">
        <v>2005</v>
      </c>
      <c r="C807" s="161" t="s">
        <v>2006</v>
      </c>
      <c r="D807" s="161" t="s">
        <v>1050</v>
      </c>
      <c r="E807" s="162" t="s">
        <v>2116</v>
      </c>
      <c r="F807" s="1"/>
      <c r="G807" s="76"/>
      <c r="H807" s="76"/>
      <c r="I807" s="76"/>
    </row>
    <row r="808" spans="1:9" ht="10.5" customHeight="1" x14ac:dyDescent="0.2">
      <c r="A808" s="194">
        <v>807</v>
      </c>
      <c r="B808" s="160" t="s">
        <v>2220</v>
      </c>
      <c r="C808" s="161" t="s">
        <v>885</v>
      </c>
      <c r="D808" s="161" t="s">
        <v>1051</v>
      </c>
      <c r="E808" s="162" t="s">
        <v>2116</v>
      </c>
      <c r="F808" s="1"/>
      <c r="G808" s="76"/>
      <c r="H808" s="76"/>
      <c r="I808" s="76"/>
    </row>
    <row r="809" spans="1:9" ht="10.5" customHeight="1" x14ac:dyDescent="0.2">
      <c r="A809" s="194">
        <v>808</v>
      </c>
      <c r="B809" s="160" t="s">
        <v>886</v>
      </c>
      <c r="C809" s="161" t="s">
        <v>2007</v>
      </c>
      <c r="D809" s="161" t="s">
        <v>1051</v>
      </c>
      <c r="E809" s="162" t="s">
        <v>2116</v>
      </c>
      <c r="F809" s="1"/>
      <c r="G809" s="76"/>
      <c r="H809" s="76"/>
      <c r="I809" s="76"/>
    </row>
    <row r="810" spans="1:9" ht="10.5" customHeight="1" x14ac:dyDescent="0.2">
      <c r="A810" s="194">
        <v>809</v>
      </c>
      <c r="B810" s="160" t="s">
        <v>887</v>
      </c>
      <c r="C810" s="161" t="s">
        <v>888</v>
      </c>
      <c r="D810" s="161" t="s">
        <v>1050</v>
      </c>
      <c r="E810" s="162" t="s">
        <v>2116</v>
      </c>
      <c r="F810" s="1"/>
      <c r="G810" s="76"/>
      <c r="H810" s="76"/>
      <c r="I810" s="76"/>
    </row>
    <row r="811" spans="1:9" ht="10.5" customHeight="1" x14ac:dyDescent="0.2">
      <c r="A811" s="194">
        <v>810</v>
      </c>
      <c r="B811" s="160" t="s">
        <v>889</v>
      </c>
      <c r="C811" s="161" t="s">
        <v>890</v>
      </c>
      <c r="D811" s="161" t="s">
        <v>1050</v>
      </c>
      <c r="E811" s="162" t="s">
        <v>2116</v>
      </c>
      <c r="F811" s="1"/>
      <c r="G811" s="76"/>
      <c r="H811" s="76"/>
      <c r="I811" s="76"/>
    </row>
    <row r="812" spans="1:9" ht="10.5" customHeight="1" x14ac:dyDescent="0.2">
      <c r="A812" s="194">
        <v>811</v>
      </c>
      <c r="B812" s="160" t="s">
        <v>891</v>
      </c>
      <c r="C812" s="161" t="s">
        <v>892</v>
      </c>
      <c r="D812" s="161" t="s">
        <v>1050</v>
      </c>
      <c r="E812" s="162" t="s">
        <v>2354</v>
      </c>
      <c r="F812" s="1"/>
      <c r="G812" s="76"/>
      <c r="H812" s="76"/>
      <c r="I812" s="76"/>
    </row>
    <row r="813" spans="1:9" ht="10.5" customHeight="1" x14ac:dyDescent="0.2">
      <c r="A813" s="194">
        <v>812</v>
      </c>
      <c r="B813" s="160" t="s">
        <v>893</v>
      </c>
      <c r="C813" s="161" t="s">
        <v>894</v>
      </c>
      <c r="D813" s="161" t="s">
        <v>1050</v>
      </c>
      <c r="E813" s="162" t="s">
        <v>2116</v>
      </c>
      <c r="F813" s="1"/>
      <c r="G813" s="76"/>
      <c r="H813" s="76"/>
      <c r="I813" s="76"/>
    </row>
    <row r="814" spans="1:9" ht="10.5" customHeight="1" x14ac:dyDescent="0.2">
      <c r="A814" s="194">
        <v>813</v>
      </c>
      <c r="B814" s="160" t="s">
        <v>895</v>
      </c>
      <c r="C814" s="161" t="s">
        <v>896</v>
      </c>
      <c r="D814" s="161" t="s">
        <v>1051</v>
      </c>
      <c r="E814" s="162" t="s">
        <v>2354</v>
      </c>
      <c r="F814" s="1"/>
      <c r="G814" s="76"/>
      <c r="H814" s="76"/>
      <c r="I814" s="76"/>
    </row>
    <row r="815" spans="1:9" ht="10.5" customHeight="1" x14ac:dyDescent="0.2">
      <c r="A815" s="194">
        <v>814</v>
      </c>
      <c r="B815" s="160" t="s">
        <v>897</v>
      </c>
      <c r="C815" s="161" t="s">
        <v>898</v>
      </c>
      <c r="D815" s="161" t="s">
        <v>1050</v>
      </c>
      <c r="E815" s="162" t="s">
        <v>2354</v>
      </c>
      <c r="F815" s="1"/>
      <c r="G815" s="76"/>
      <c r="H815" s="76"/>
      <c r="I815" s="76"/>
    </row>
    <row r="816" spans="1:9" ht="10.5" customHeight="1" x14ac:dyDescent="0.2">
      <c r="A816" s="194">
        <v>815</v>
      </c>
      <c r="B816" s="160" t="s">
        <v>2292</v>
      </c>
      <c r="C816" s="161" t="s">
        <v>2293</v>
      </c>
      <c r="D816" s="161" t="s">
        <v>1051</v>
      </c>
      <c r="E816" s="162" t="s">
        <v>2354</v>
      </c>
      <c r="F816" s="1"/>
      <c r="G816" s="76"/>
      <c r="H816" s="76"/>
      <c r="I816" s="76"/>
    </row>
    <row r="817" spans="1:9" ht="10.5" customHeight="1" x14ac:dyDescent="0.2">
      <c r="A817" s="194">
        <v>816</v>
      </c>
      <c r="B817" s="160" t="s">
        <v>1141</v>
      </c>
      <c r="C817" s="161" t="s">
        <v>1142</v>
      </c>
      <c r="D817" s="161" t="s">
        <v>1051</v>
      </c>
      <c r="E817" s="162" t="s">
        <v>2115</v>
      </c>
      <c r="F817" s="1"/>
      <c r="G817" s="76"/>
      <c r="H817" s="76"/>
      <c r="I817" s="76"/>
    </row>
    <row r="818" spans="1:9" ht="10.5" customHeight="1" x14ac:dyDescent="0.2">
      <c r="A818" s="194">
        <v>817</v>
      </c>
      <c r="B818" s="160" t="s">
        <v>2008</v>
      </c>
      <c r="C818" s="161" t="s">
        <v>1142</v>
      </c>
      <c r="D818" s="161" t="s">
        <v>1051</v>
      </c>
      <c r="E818" s="162" t="s">
        <v>2115</v>
      </c>
      <c r="F818" s="1"/>
      <c r="G818" s="76"/>
      <c r="H818" s="76"/>
      <c r="I818" s="76"/>
    </row>
    <row r="819" spans="1:9" ht="10.5" customHeight="1" x14ac:dyDescent="0.2">
      <c r="A819" s="194">
        <v>818</v>
      </c>
      <c r="B819" s="160" t="s">
        <v>899</v>
      </c>
      <c r="C819" s="161" t="s">
        <v>900</v>
      </c>
      <c r="D819" s="161" t="s">
        <v>1051</v>
      </c>
      <c r="E819" s="162" t="s">
        <v>2354</v>
      </c>
      <c r="F819" s="1"/>
      <c r="G819" s="76"/>
      <c r="H819" s="76"/>
      <c r="I819" s="76"/>
    </row>
    <row r="820" spans="1:9" ht="10.5" customHeight="1" x14ac:dyDescent="0.2">
      <c r="A820" s="194">
        <v>819</v>
      </c>
      <c r="B820" s="160" t="s">
        <v>901</v>
      </c>
      <c r="C820" s="161" t="s">
        <v>902</v>
      </c>
      <c r="D820" s="161" t="s">
        <v>1050</v>
      </c>
      <c r="E820" s="162" t="s">
        <v>2354</v>
      </c>
      <c r="F820" s="1"/>
      <c r="G820" s="76"/>
      <c r="H820" s="76"/>
      <c r="I820" s="76"/>
    </row>
    <row r="821" spans="1:9" ht="10.5" customHeight="1" x14ac:dyDescent="0.2">
      <c r="A821" s="194">
        <v>820</v>
      </c>
      <c r="B821" s="160" t="s">
        <v>903</v>
      </c>
      <c r="C821" s="161" t="s">
        <v>2009</v>
      </c>
      <c r="D821" s="161" t="s">
        <v>1051</v>
      </c>
      <c r="E821" s="162" t="s">
        <v>2115</v>
      </c>
      <c r="F821" s="1"/>
      <c r="G821" s="76"/>
      <c r="H821" s="76"/>
      <c r="I821" s="76"/>
    </row>
    <row r="822" spans="1:9" ht="10.5" customHeight="1" x14ac:dyDescent="0.2">
      <c r="A822" s="194">
        <v>821</v>
      </c>
      <c r="B822" s="160" t="s">
        <v>1143</v>
      </c>
      <c r="C822" s="161" t="s">
        <v>2010</v>
      </c>
      <c r="D822" s="161" t="s">
        <v>1050</v>
      </c>
      <c r="E822" s="162" t="s">
        <v>2115</v>
      </c>
      <c r="F822" s="1"/>
      <c r="G822" s="76"/>
      <c r="H822" s="76"/>
      <c r="I822" s="76"/>
    </row>
    <row r="823" spans="1:9" ht="10.5" customHeight="1" x14ac:dyDescent="0.2">
      <c r="A823" s="194">
        <v>822</v>
      </c>
      <c r="B823" s="160" t="s">
        <v>904</v>
      </c>
      <c r="C823" s="161" t="s">
        <v>2011</v>
      </c>
      <c r="D823" s="161" t="s">
        <v>1051</v>
      </c>
      <c r="E823" s="162" t="s">
        <v>2354</v>
      </c>
      <c r="F823" s="1"/>
      <c r="G823" s="76"/>
      <c r="H823" s="76"/>
      <c r="I823" s="76"/>
    </row>
    <row r="824" spans="1:9" ht="10.5" customHeight="1" x14ac:dyDescent="0.2">
      <c r="A824" s="194">
        <v>823</v>
      </c>
      <c r="B824" s="160" t="s">
        <v>906</v>
      </c>
      <c r="C824" s="161" t="s">
        <v>582</v>
      </c>
      <c r="D824" s="161" t="s">
        <v>1070</v>
      </c>
      <c r="E824" s="162" t="s">
        <v>2115</v>
      </c>
      <c r="F824" s="1"/>
      <c r="G824" s="76"/>
      <c r="H824" s="76"/>
      <c r="I824" s="76"/>
    </row>
    <row r="825" spans="1:9" ht="10.5" customHeight="1" x14ac:dyDescent="0.2">
      <c r="A825" s="194">
        <v>824</v>
      </c>
      <c r="B825" s="160" t="s">
        <v>907</v>
      </c>
      <c r="C825" s="161" t="s">
        <v>2012</v>
      </c>
      <c r="D825" s="161" t="s">
        <v>1051</v>
      </c>
      <c r="E825" s="162" t="s">
        <v>2116</v>
      </c>
      <c r="F825" s="1"/>
      <c r="G825" s="76"/>
      <c r="H825" s="76"/>
      <c r="I825" s="76"/>
    </row>
    <row r="826" spans="1:9" ht="10.5" customHeight="1" x14ac:dyDescent="0.2">
      <c r="A826" s="194">
        <v>825</v>
      </c>
      <c r="B826" s="160" t="s">
        <v>2013</v>
      </c>
      <c r="C826" s="161" t="s">
        <v>905</v>
      </c>
      <c r="D826" s="161" t="s">
        <v>1051</v>
      </c>
      <c r="E826" s="162" t="s">
        <v>2116</v>
      </c>
      <c r="F826" s="1"/>
      <c r="G826" s="76"/>
      <c r="H826" s="76"/>
      <c r="I826" s="76"/>
    </row>
    <row r="827" spans="1:9" ht="10.5" customHeight="1" x14ac:dyDescent="0.2">
      <c r="A827" s="194">
        <v>826</v>
      </c>
      <c r="B827" s="160" t="s">
        <v>908</v>
      </c>
      <c r="C827" s="161" t="s">
        <v>909</v>
      </c>
      <c r="D827" s="161" t="s">
        <v>1070</v>
      </c>
      <c r="E827" s="162" t="s">
        <v>2115</v>
      </c>
      <c r="F827" s="1"/>
      <c r="G827" s="76"/>
      <c r="H827" s="76"/>
      <c r="I827" s="76"/>
    </row>
    <row r="828" spans="1:9" ht="10.5" customHeight="1" x14ac:dyDescent="0.2">
      <c r="A828" s="194">
        <v>827</v>
      </c>
      <c r="B828" s="160" t="s">
        <v>910</v>
      </c>
      <c r="C828" s="161" t="s">
        <v>911</v>
      </c>
      <c r="D828" s="161" t="s">
        <v>1050</v>
      </c>
      <c r="E828" s="162" t="s">
        <v>2116</v>
      </c>
      <c r="F828" s="1"/>
      <c r="G828" s="76"/>
      <c r="H828" s="76"/>
      <c r="I828" s="76"/>
    </row>
    <row r="829" spans="1:9" ht="10.5" customHeight="1" x14ac:dyDescent="0.2">
      <c r="A829" s="194">
        <v>828</v>
      </c>
      <c r="B829" s="160" t="s">
        <v>912</v>
      </c>
      <c r="C829" s="161" t="s">
        <v>1596</v>
      </c>
      <c r="D829" s="161" t="s">
        <v>1050</v>
      </c>
      <c r="E829" s="162" t="s">
        <v>2116</v>
      </c>
      <c r="F829" s="1"/>
      <c r="G829" s="76"/>
      <c r="H829" s="76"/>
      <c r="I829" s="76"/>
    </row>
    <row r="830" spans="1:9" ht="10.5" customHeight="1" x14ac:dyDescent="0.2">
      <c r="A830" s="194">
        <v>829</v>
      </c>
      <c r="B830" s="160" t="s">
        <v>2221</v>
      </c>
      <c r="C830" s="161" t="s">
        <v>2294</v>
      </c>
      <c r="D830" s="161" t="s">
        <v>1050</v>
      </c>
      <c r="E830" s="162" t="s">
        <v>2115</v>
      </c>
      <c r="F830" s="1"/>
      <c r="G830" s="76"/>
      <c r="H830" s="76"/>
      <c r="I830" s="76"/>
    </row>
    <row r="831" spans="1:9" ht="10.5" customHeight="1" x14ac:dyDescent="0.2">
      <c r="A831" s="194">
        <v>830</v>
      </c>
      <c r="B831" s="160" t="s">
        <v>2222</v>
      </c>
      <c r="C831" s="161" t="s">
        <v>1597</v>
      </c>
      <c r="D831" s="161" t="s">
        <v>1050</v>
      </c>
      <c r="E831" s="162" t="s">
        <v>2115</v>
      </c>
      <c r="F831" s="1"/>
      <c r="G831" s="76"/>
      <c r="H831" s="76"/>
      <c r="I831" s="76"/>
    </row>
    <row r="832" spans="1:9" ht="10.5" customHeight="1" x14ac:dyDescent="0.2">
      <c r="A832" s="194">
        <v>831</v>
      </c>
      <c r="B832" s="160" t="s">
        <v>2223</v>
      </c>
      <c r="C832" s="161" t="s">
        <v>2224</v>
      </c>
      <c r="D832" s="161" t="s">
        <v>1050</v>
      </c>
      <c r="E832" s="162" t="s">
        <v>2115</v>
      </c>
      <c r="F832" s="1"/>
      <c r="G832" s="76"/>
      <c r="H832" s="76"/>
      <c r="I832" s="76"/>
    </row>
    <row r="833" spans="1:9" ht="10.5" customHeight="1" x14ac:dyDescent="0.2">
      <c r="A833" s="194">
        <v>832</v>
      </c>
      <c r="B833" s="160" t="s">
        <v>2014</v>
      </c>
      <c r="C833" s="161" t="s">
        <v>2015</v>
      </c>
      <c r="D833" s="161" t="s">
        <v>1050</v>
      </c>
      <c r="E833" s="162" t="s">
        <v>2116</v>
      </c>
      <c r="F833" s="1"/>
      <c r="G833" s="76"/>
      <c r="H833" s="76"/>
      <c r="I833" s="76"/>
    </row>
    <row r="834" spans="1:9" ht="10.5" customHeight="1" x14ac:dyDescent="0.2">
      <c r="A834" s="194">
        <v>833</v>
      </c>
      <c r="B834" s="160" t="s">
        <v>2225</v>
      </c>
      <c r="C834" s="161" t="s">
        <v>2226</v>
      </c>
      <c r="D834" s="161" t="s">
        <v>1051</v>
      </c>
      <c r="E834" s="162" t="s">
        <v>2354</v>
      </c>
      <c r="F834" s="1"/>
      <c r="G834" s="76"/>
      <c r="H834" s="76"/>
      <c r="I834" s="76"/>
    </row>
    <row r="835" spans="1:9" ht="10.5" customHeight="1" x14ac:dyDescent="0.2">
      <c r="A835" s="194">
        <v>834</v>
      </c>
      <c r="B835" s="160" t="s">
        <v>2227</v>
      </c>
      <c r="C835" s="161" t="s">
        <v>915</v>
      </c>
      <c r="D835" s="161" t="s">
        <v>1050</v>
      </c>
      <c r="E835" s="162" t="s">
        <v>2354</v>
      </c>
      <c r="F835" s="1"/>
      <c r="G835" s="76"/>
      <c r="H835" s="76"/>
      <c r="I835" s="76"/>
    </row>
    <row r="836" spans="1:9" ht="10.5" customHeight="1" x14ac:dyDescent="0.2">
      <c r="A836" s="194">
        <v>835</v>
      </c>
      <c r="B836" s="160" t="s">
        <v>914</v>
      </c>
      <c r="C836" s="161" t="s">
        <v>915</v>
      </c>
      <c r="D836" s="161" t="s">
        <v>1050</v>
      </c>
      <c r="E836" s="162" t="s">
        <v>2354</v>
      </c>
      <c r="F836" s="1"/>
      <c r="G836" s="76"/>
      <c r="H836" s="76"/>
      <c r="I836" s="76"/>
    </row>
    <row r="837" spans="1:9" ht="10.5" customHeight="1" x14ac:dyDescent="0.2">
      <c r="A837" s="194">
        <v>836</v>
      </c>
      <c r="B837" s="173" t="s">
        <v>2330</v>
      </c>
      <c r="C837" s="174" t="s">
        <v>2331</v>
      </c>
      <c r="D837" s="174" t="s">
        <v>1050</v>
      </c>
      <c r="E837" s="174" t="s">
        <v>2115</v>
      </c>
      <c r="F837" s="1"/>
      <c r="G837" s="76"/>
      <c r="H837" s="76"/>
      <c r="I837" s="76"/>
    </row>
    <row r="838" spans="1:9" ht="10.5" customHeight="1" x14ac:dyDescent="0.2">
      <c r="A838" s="194">
        <v>837</v>
      </c>
      <c r="B838" s="160" t="s">
        <v>2016</v>
      </c>
      <c r="C838" s="161" t="s">
        <v>2017</v>
      </c>
      <c r="D838" s="161" t="s">
        <v>1050</v>
      </c>
      <c r="E838" s="162" t="s">
        <v>2116</v>
      </c>
      <c r="F838" s="1"/>
      <c r="G838" s="76"/>
      <c r="H838" s="76"/>
      <c r="I838" s="76"/>
    </row>
    <row r="839" spans="1:9" ht="10.5" customHeight="1" x14ac:dyDescent="0.2">
      <c r="A839" s="194">
        <v>838</v>
      </c>
      <c r="B839" s="160" t="s">
        <v>916</v>
      </c>
      <c r="C839" s="161" t="s">
        <v>1598</v>
      </c>
      <c r="D839" s="161" t="s">
        <v>1050</v>
      </c>
      <c r="E839" s="162" t="s">
        <v>696</v>
      </c>
      <c r="F839" s="1"/>
      <c r="G839" s="76"/>
      <c r="H839" s="76"/>
      <c r="I839" s="76"/>
    </row>
    <row r="840" spans="1:9" ht="10.5" customHeight="1" x14ac:dyDescent="0.2">
      <c r="A840" s="194">
        <v>839</v>
      </c>
      <c r="B840" s="160" t="s">
        <v>2260</v>
      </c>
      <c r="C840" s="161" t="s">
        <v>2261</v>
      </c>
      <c r="D840" s="161" t="s">
        <v>1051</v>
      </c>
      <c r="E840" s="162" t="s">
        <v>2115</v>
      </c>
      <c r="F840" s="1"/>
      <c r="G840" s="76"/>
      <c r="H840" s="76"/>
      <c r="I840" s="76"/>
    </row>
    <row r="841" spans="1:9" ht="10.5" customHeight="1" x14ac:dyDescent="0.2">
      <c r="A841" s="194">
        <v>840</v>
      </c>
      <c r="B841" s="160" t="s">
        <v>918</v>
      </c>
      <c r="C841" s="161" t="s">
        <v>919</v>
      </c>
      <c r="D841" s="161" t="s">
        <v>1050</v>
      </c>
      <c r="E841" s="162" t="s">
        <v>2116</v>
      </c>
      <c r="F841" s="1"/>
      <c r="G841" s="76"/>
      <c r="H841" s="76"/>
      <c r="I841" s="76"/>
    </row>
    <row r="842" spans="1:9" ht="10.5" customHeight="1" x14ac:dyDescent="0.2">
      <c r="A842" s="194">
        <v>841</v>
      </c>
      <c r="B842" s="160" t="s">
        <v>920</v>
      </c>
      <c r="C842" s="161" t="s">
        <v>921</v>
      </c>
      <c r="D842" s="161" t="s">
        <v>1050</v>
      </c>
      <c r="E842" s="162" t="s">
        <v>2116</v>
      </c>
      <c r="F842" s="1"/>
      <c r="G842" s="76"/>
      <c r="H842" s="76"/>
      <c r="I842" s="76"/>
    </row>
    <row r="843" spans="1:9" ht="10.5" customHeight="1" x14ac:dyDescent="0.2">
      <c r="A843" s="194">
        <v>842</v>
      </c>
      <c r="B843" s="160" t="s">
        <v>922</v>
      </c>
      <c r="C843" s="161" t="s">
        <v>2018</v>
      </c>
      <c r="D843" s="161" t="s">
        <v>1050</v>
      </c>
      <c r="E843" s="162" t="s">
        <v>2116</v>
      </c>
      <c r="F843" s="1"/>
      <c r="G843" s="76"/>
      <c r="H843" s="76"/>
      <c r="I843" s="76"/>
    </row>
    <row r="844" spans="1:9" ht="10.5" customHeight="1" x14ac:dyDescent="0.2">
      <c r="A844" s="194">
        <v>843</v>
      </c>
      <c r="B844" s="160" t="s">
        <v>923</v>
      </c>
      <c r="C844" s="161" t="s">
        <v>924</v>
      </c>
      <c r="D844" s="161" t="s">
        <v>1050</v>
      </c>
      <c r="E844" s="162" t="s">
        <v>2354</v>
      </c>
      <c r="F844" s="1"/>
      <c r="G844" s="76"/>
      <c r="H844" s="76"/>
      <c r="I844" s="76"/>
    </row>
    <row r="845" spans="1:9" ht="10.5" customHeight="1" x14ac:dyDescent="0.2">
      <c r="A845" s="194">
        <v>844</v>
      </c>
      <c r="B845" s="160" t="s">
        <v>1599</v>
      </c>
      <c r="C845" s="161" t="s">
        <v>1600</v>
      </c>
      <c r="D845" s="161" t="s">
        <v>1050</v>
      </c>
      <c r="E845" s="162" t="s">
        <v>2354</v>
      </c>
      <c r="F845" s="1"/>
      <c r="G845" s="76"/>
      <c r="H845" s="76"/>
      <c r="I845" s="76"/>
    </row>
    <row r="846" spans="1:9" ht="10.5" customHeight="1" x14ac:dyDescent="0.2">
      <c r="A846" s="194">
        <v>845</v>
      </c>
      <c r="B846" s="160" t="s">
        <v>925</v>
      </c>
      <c r="C846" s="161" t="s">
        <v>926</v>
      </c>
      <c r="D846" s="161" t="s">
        <v>1050</v>
      </c>
      <c r="E846" s="162" t="s">
        <v>2354</v>
      </c>
      <c r="F846" s="1"/>
      <c r="G846" s="76"/>
      <c r="H846" s="76"/>
      <c r="I846" s="76"/>
    </row>
    <row r="847" spans="1:9" ht="10.5" customHeight="1" x14ac:dyDescent="0.2">
      <c r="A847" s="194">
        <v>846</v>
      </c>
      <c r="B847" s="160" t="s">
        <v>927</v>
      </c>
      <c r="C847" s="161" t="s">
        <v>928</v>
      </c>
      <c r="D847" s="161" t="s">
        <v>1070</v>
      </c>
      <c r="E847" s="162" t="s">
        <v>2115</v>
      </c>
      <c r="F847" s="1"/>
      <c r="G847" s="76"/>
      <c r="H847" s="76"/>
      <c r="I847" s="76"/>
    </row>
    <row r="848" spans="1:9" ht="10.5" customHeight="1" x14ac:dyDescent="0.2">
      <c r="A848" s="194">
        <v>847</v>
      </c>
      <c r="B848" s="160" t="s">
        <v>929</v>
      </c>
      <c r="C848" s="161" t="s">
        <v>930</v>
      </c>
      <c r="D848" s="161" t="s">
        <v>1050</v>
      </c>
      <c r="E848" s="162" t="s">
        <v>2116</v>
      </c>
      <c r="F848" s="1"/>
      <c r="G848" s="76"/>
      <c r="H848" s="76"/>
      <c r="I848" s="76"/>
    </row>
    <row r="849" spans="1:9" ht="10.5" customHeight="1" x14ac:dyDescent="0.2">
      <c r="A849" s="194">
        <v>848</v>
      </c>
      <c r="B849" s="160" t="s">
        <v>931</v>
      </c>
      <c r="C849" s="161" t="s">
        <v>932</v>
      </c>
      <c r="D849" s="161" t="s">
        <v>1050</v>
      </c>
      <c r="E849" s="162" t="s">
        <v>2115</v>
      </c>
      <c r="F849" s="1"/>
      <c r="G849" s="76"/>
      <c r="H849" s="76"/>
      <c r="I849" s="76"/>
    </row>
    <row r="850" spans="1:9" ht="10.5" customHeight="1" x14ac:dyDescent="0.2">
      <c r="A850" s="194">
        <v>849</v>
      </c>
      <c r="B850" s="160" t="s">
        <v>933</v>
      </c>
      <c r="C850" s="161" t="s">
        <v>934</v>
      </c>
      <c r="D850" s="161" t="s">
        <v>1070</v>
      </c>
      <c r="E850" s="162" t="s">
        <v>2115</v>
      </c>
      <c r="F850" s="1"/>
      <c r="G850" s="76"/>
      <c r="H850" s="76"/>
      <c r="I850" s="76"/>
    </row>
    <row r="851" spans="1:9" ht="10.5" customHeight="1" x14ac:dyDescent="0.2">
      <c r="A851" s="194">
        <v>850</v>
      </c>
      <c r="B851" s="160" t="s">
        <v>1601</v>
      </c>
      <c r="C851" s="161" t="s">
        <v>2019</v>
      </c>
      <c r="D851" s="161" t="s">
        <v>1050</v>
      </c>
      <c r="E851" s="162" t="s">
        <v>2115</v>
      </c>
      <c r="F851" s="1"/>
      <c r="G851" s="76"/>
      <c r="H851" s="76"/>
      <c r="I851" s="76"/>
    </row>
    <row r="852" spans="1:9" ht="10.5" customHeight="1" x14ac:dyDescent="0.2">
      <c r="A852" s="194">
        <v>851</v>
      </c>
      <c r="B852" s="160" t="s">
        <v>935</v>
      </c>
      <c r="C852" s="161" t="s">
        <v>936</v>
      </c>
      <c r="D852" s="161" t="s">
        <v>1050</v>
      </c>
      <c r="E852" s="162" t="s">
        <v>2116</v>
      </c>
      <c r="F852" s="1"/>
      <c r="G852" s="76"/>
      <c r="H852" s="76"/>
      <c r="I852" s="76"/>
    </row>
    <row r="853" spans="1:9" ht="10.5" customHeight="1" x14ac:dyDescent="0.2">
      <c r="A853" s="194">
        <v>852</v>
      </c>
      <c r="B853" s="160" t="s">
        <v>937</v>
      </c>
      <c r="C853" s="161" t="s">
        <v>1144</v>
      </c>
      <c r="D853" s="161" t="s">
        <v>1051</v>
      </c>
      <c r="E853" s="162" t="s">
        <v>2116</v>
      </c>
      <c r="F853" s="1"/>
      <c r="G853" s="76"/>
      <c r="H853" s="76"/>
      <c r="I853" s="76"/>
    </row>
    <row r="854" spans="1:9" ht="10.5" customHeight="1" x14ac:dyDescent="0.2">
      <c r="A854" s="194">
        <v>853</v>
      </c>
      <c r="B854" s="160" t="s">
        <v>938</v>
      </c>
      <c r="C854" s="161" t="s">
        <v>939</v>
      </c>
      <c r="D854" s="161" t="s">
        <v>1051</v>
      </c>
      <c r="E854" s="162" t="s">
        <v>2115</v>
      </c>
      <c r="F854" s="1"/>
      <c r="G854" s="76"/>
      <c r="H854" s="76"/>
      <c r="I854" s="76"/>
    </row>
    <row r="855" spans="1:9" ht="10.5" customHeight="1" x14ac:dyDescent="0.2">
      <c r="A855" s="194">
        <v>854</v>
      </c>
      <c r="B855" s="160" t="s">
        <v>940</v>
      </c>
      <c r="C855" s="161" t="s">
        <v>2020</v>
      </c>
      <c r="D855" s="161" t="s">
        <v>1050</v>
      </c>
      <c r="E855" s="162" t="s">
        <v>2116</v>
      </c>
      <c r="F855" s="1"/>
      <c r="G855" s="76"/>
      <c r="H855" s="76"/>
      <c r="I855" s="76"/>
    </row>
    <row r="856" spans="1:9" ht="10.5" customHeight="1" x14ac:dyDescent="0.2">
      <c r="A856" s="194">
        <v>855</v>
      </c>
      <c r="B856" s="160" t="s">
        <v>941</v>
      </c>
      <c r="C856" s="161" t="s">
        <v>942</v>
      </c>
      <c r="D856" s="161" t="s">
        <v>1050</v>
      </c>
      <c r="E856" s="162" t="s">
        <v>2115</v>
      </c>
      <c r="F856" s="1"/>
      <c r="G856" s="76"/>
      <c r="H856" s="76"/>
      <c r="I856" s="76"/>
    </row>
    <row r="857" spans="1:9" ht="10.5" customHeight="1" x14ac:dyDescent="0.2">
      <c r="A857" s="194">
        <v>856</v>
      </c>
      <c r="B857" s="160" t="s">
        <v>943</v>
      </c>
      <c r="C857" s="161" t="s">
        <v>2021</v>
      </c>
      <c r="D857" s="161" t="s">
        <v>1050</v>
      </c>
      <c r="E857" s="162" t="s">
        <v>2116</v>
      </c>
      <c r="F857" s="1"/>
      <c r="G857" s="76"/>
      <c r="H857" s="76"/>
      <c r="I857" s="76"/>
    </row>
    <row r="858" spans="1:9" ht="10.5" customHeight="1" x14ac:dyDescent="0.2">
      <c r="A858" s="194">
        <v>857</v>
      </c>
      <c r="B858" s="160" t="s">
        <v>944</v>
      </c>
      <c r="C858" s="161" t="s">
        <v>2022</v>
      </c>
      <c r="D858" s="161" t="s">
        <v>1050</v>
      </c>
      <c r="E858" s="162" t="s">
        <v>2116</v>
      </c>
      <c r="F858" s="1"/>
      <c r="G858" s="76"/>
      <c r="H858" s="76"/>
      <c r="I858" s="76"/>
    </row>
    <row r="859" spans="1:9" ht="10.5" customHeight="1" x14ac:dyDescent="0.2">
      <c r="A859" s="194">
        <v>858</v>
      </c>
      <c r="B859" s="160" t="s">
        <v>945</v>
      </c>
      <c r="C859" s="161" t="s">
        <v>2023</v>
      </c>
      <c r="D859" s="161" t="s">
        <v>1050</v>
      </c>
      <c r="E859" s="162" t="s">
        <v>2116</v>
      </c>
      <c r="F859" s="1"/>
      <c r="G859" s="76"/>
      <c r="H859" s="76"/>
      <c r="I859" s="76"/>
    </row>
    <row r="860" spans="1:9" ht="10.5" customHeight="1" x14ac:dyDescent="0.2">
      <c r="A860" s="194">
        <v>859</v>
      </c>
      <c r="B860" s="160" t="s">
        <v>2228</v>
      </c>
      <c r="C860" s="161" t="s">
        <v>2229</v>
      </c>
      <c r="D860" s="161" t="s">
        <v>1050</v>
      </c>
      <c r="E860" s="162" t="s">
        <v>2116</v>
      </c>
      <c r="F860" s="1"/>
      <c r="G860" s="76"/>
      <c r="H860" s="76"/>
      <c r="I860" s="76"/>
    </row>
    <row r="861" spans="1:9" ht="10.5" customHeight="1" x14ac:dyDescent="0.2">
      <c r="A861" s="194">
        <v>860</v>
      </c>
      <c r="B861" s="160" t="s">
        <v>946</v>
      </c>
      <c r="C861" s="161" t="s">
        <v>947</v>
      </c>
      <c r="D861" s="161" t="s">
        <v>1050</v>
      </c>
      <c r="E861" s="162" t="s">
        <v>2354</v>
      </c>
      <c r="F861" s="1"/>
      <c r="G861" s="76"/>
      <c r="H861" s="76"/>
      <c r="I861" s="76"/>
    </row>
    <row r="862" spans="1:9" ht="10.5" customHeight="1" x14ac:dyDescent="0.2">
      <c r="A862" s="194">
        <v>861</v>
      </c>
      <c r="B862" s="163" t="s">
        <v>2246</v>
      </c>
      <c r="C862" s="164" t="s">
        <v>2247</v>
      </c>
      <c r="D862" s="164" t="s">
        <v>1050</v>
      </c>
      <c r="E862" s="162" t="s">
        <v>2354</v>
      </c>
      <c r="F862" s="1"/>
      <c r="G862" s="76"/>
      <c r="H862" s="76"/>
      <c r="I862" s="76"/>
    </row>
    <row r="863" spans="1:9" ht="10.5" customHeight="1" x14ac:dyDescent="0.2">
      <c r="A863" s="194">
        <v>862</v>
      </c>
      <c r="B863" s="160" t="s">
        <v>2024</v>
      </c>
      <c r="C863" s="161" t="s">
        <v>874</v>
      </c>
      <c r="D863" s="161" t="s">
        <v>1050</v>
      </c>
      <c r="E863" s="162" t="s">
        <v>2354</v>
      </c>
      <c r="F863" s="1"/>
      <c r="G863" s="76"/>
      <c r="H863" s="76"/>
      <c r="I863" s="76"/>
    </row>
    <row r="864" spans="1:9" ht="10.5" customHeight="1" x14ac:dyDescent="0.2">
      <c r="A864" s="194">
        <v>863</v>
      </c>
      <c r="B864" s="160" t="s">
        <v>948</v>
      </c>
      <c r="C864" s="161" t="s">
        <v>2025</v>
      </c>
      <c r="D864" s="161" t="s">
        <v>1050</v>
      </c>
      <c r="E864" s="162" t="s">
        <v>2116</v>
      </c>
      <c r="F864" s="1"/>
      <c r="G864" s="76"/>
      <c r="H864" s="76"/>
      <c r="I864" s="76"/>
    </row>
    <row r="865" spans="1:9" ht="10.5" customHeight="1" x14ac:dyDescent="0.2">
      <c r="A865" s="194">
        <v>864</v>
      </c>
      <c r="B865" s="160" t="s">
        <v>949</v>
      </c>
      <c r="C865" s="161" t="s">
        <v>2026</v>
      </c>
      <c r="D865" s="161" t="s">
        <v>1050</v>
      </c>
      <c r="E865" s="162" t="s">
        <v>2116</v>
      </c>
      <c r="F865" s="1"/>
      <c r="G865" s="76"/>
      <c r="H865" s="76"/>
      <c r="I865" s="76"/>
    </row>
    <row r="866" spans="1:9" ht="10.5" customHeight="1" x14ac:dyDescent="0.2">
      <c r="A866" s="194">
        <v>865</v>
      </c>
      <c r="B866" s="160" t="s">
        <v>950</v>
      </c>
      <c r="C866" s="161" t="s">
        <v>2027</v>
      </c>
      <c r="D866" s="161" t="s">
        <v>1070</v>
      </c>
      <c r="E866" s="162" t="s">
        <v>2123</v>
      </c>
      <c r="F866" s="1"/>
      <c r="G866" s="76"/>
      <c r="H866" s="76"/>
      <c r="I866" s="76"/>
    </row>
    <row r="867" spans="1:9" ht="10.5" customHeight="1" x14ac:dyDescent="0.2">
      <c r="A867" s="194">
        <v>866</v>
      </c>
      <c r="B867" s="160" t="s">
        <v>951</v>
      </c>
      <c r="C867" s="161" t="s">
        <v>952</v>
      </c>
      <c r="D867" s="161" t="s">
        <v>1050</v>
      </c>
      <c r="E867" s="162" t="s">
        <v>2116</v>
      </c>
      <c r="F867" s="1"/>
      <c r="G867" s="76"/>
      <c r="H867" s="76"/>
      <c r="I867" s="76"/>
    </row>
    <row r="868" spans="1:9" ht="10.5" customHeight="1" x14ac:dyDescent="0.2">
      <c r="A868" s="194">
        <v>867</v>
      </c>
      <c r="B868" s="160" t="s">
        <v>953</v>
      </c>
      <c r="C868" s="161" t="s">
        <v>1602</v>
      </c>
      <c r="D868" s="161" t="s">
        <v>1050</v>
      </c>
      <c r="E868" s="162" t="s">
        <v>696</v>
      </c>
      <c r="F868" s="1"/>
      <c r="G868" s="76"/>
      <c r="H868" s="76"/>
      <c r="I868" s="76"/>
    </row>
    <row r="869" spans="1:9" ht="10.5" customHeight="1" x14ac:dyDescent="0.2">
      <c r="A869" s="194">
        <v>868</v>
      </c>
      <c r="B869" s="173" t="s">
        <v>2332</v>
      </c>
      <c r="C869" s="174" t="s">
        <v>2333</v>
      </c>
      <c r="D869" s="174" t="s">
        <v>1051</v>
      </c>
      <c r="E869" s="174" t="s">
        <v>2115</v>
      </c>
      <c r="F869" s="1"/>
      <c r="G869" s="76"/>
      <c r="H869" s="76"/>
      <c r="I869" s="76"/>
    </row>
    <row r="870" spans="1:9" ht="10.5" customHeight="1" x14ac:dyDescent="0.2">
      <c r="A870" s="194">
        <v>869</v>
      </c>
      <c r="B870" s="160" t="s">
        <v>2028</v>
      </c>
      <c r="C870" s="161" t="s">
        <v>1603</v>
      </c>
      <c r="D870" s="161" t="s">
        <v>1050</v>
      </c>
      <c r="E870" s="162" t="s">
        <v>2354</v>
      </c>
      <c r="F870" s="1"/>
      <c r="G870" s="76"/>
      <c r="H870" s="76"/>
      <c r="I870" s="76"/>
    </row>
    <row r="871" spans="1:9" ht="10.5" customHeight="1" x14ac:dyDescent="0.2">
      <c r="A871" s="194">
        <v>870</v>
      </c>
      <c r="B871" s="160" t="s">
        <v>2295</v>
      </c>
      <c r="C871" s="161" t="s">
        <v>2296</v>
      </c>
      <c r="D871" s="161" t="s">
        <v>1051</v>
      </c>
      <c r="E871" s="162" t="s">
        <v>2354</v>
      </c>
      <c r="F871" s="1"/>
      <c r="G871" s="76"/>
      <c r="H871" s="76"/>
      <c r="I871" s="76"/>
    </row>
    <row r="872" spans="1:9" ht="10.5" customHeight="1" x14ac:dyDescent="0.2">
      <c r="A872" s="194">
        <v>871</v>
      </c>
      <c r="B872" s="160" t="s">
        <v>954</v>
      </c>
      <c r="C872" s="161" t="s">
        <v>954</v>
      </c>
      <c r="D872" s="161" t="s">
        <v>1050</v>
      </c>
      <c r="E872" s="162" t="s">
        <v>2116</v>
      </c>
      <c r="F872" s="1"/>
      <c r="G872" s="76"/>
      <c r="H872" s="76"/>
      <c r="I872" s="76"/>
    </row>
    <row r="873" spans="1:9" ht="10.5" customHeight="1" x14ac:dyDescent="0.2">
      <c r="A873" s="194">
        <v>872</v>
      </c>
      <c r="B873" s="160" t="s">
        <v>955</v>
      </c>
      <c r="C873" s="161" t="s">
        <v>956</v>
      </c>
      <c r="D873" s="161" t="s">
        <v>1051</v>
      </c>
      <c r="E873" s="162" t="s">
        <v>2115</v>
      </c>
      <c r="F873" s="1"/>
      <c r="G873" s="76"/>
      <c r="H873" s="76"/>
      <c r="I873" s="76"/>
    </row>
    <row r="874" spans="1:9" ht="10.5" customHeight="1" x14ac:dyDescent="0.2">
      <c r="A874" s="194">
        <v>873</v>
      </c>
      <c r="B874" s="160" t="s">
        <v>957</v>
      </c>
      <c r="C874" s="161" t="s">
        <v>958</v>
      </c>
      <c r="D874" s="161" t="s">
        <v>1051</v>
      </c>
      <c r="E874" s="162" t="s">
        <v>2115</v>
      </c>
      <c r="F874" s="1"/>
      <c r="G874" s="76"/>
      <c r="H874" s="76"/>
      <c r="I874" s="76"/>
    </row>
    <row r="875" spans="1:9" ht="10.5" customHeight="1" x14ac:dyDescent="0.2">
      <c r="A875" s="194">
        <v>874</v>
      </c>
      <c r="B875" s="160" t="s">
        <v>959</v>
      </c>
      <c r="C875" s="175" t="s">
        <v>960</v>
      </c>
      <c r="D875" s="175" t="s">
        <v>1050</v>
      </c>
      <c r="E875" s="176" t="s">
        <v>2116</v>
      </c>
      <c r="F875" s="1"/>
      <c r="G875" s="76"/>
      <c r="H875" s="76"/>
      <c r="I875" s="76"/>
    </row>
    <row r="876" spans="1:9" ht="10.5" customHeight="1" x14ac:dyDescent="0.2">
      <c r="A876" s="194">
        <v>875</v>
      </c>
      <c r="B876" s="178" t="s">
        <v>961</v>
      </c>
      <c r="C876" s="179" t="s">
        <v>962</v>
      </c>
      <c r="D876" s="179" t="s">
        <v>1050</v>
      </c>
      <c r="E876" s="180" t="s">
        <v>2116</v>
      </c>
      <c r="F876" s="1"/>
      <c r="G876" s="76"/>
      <c r="H876" s="76"/>
      <c r="I876" s="76"/>
    </row>
    <row r="877" spans="1:9" ht="10.5" customHeight="1" x14ac:dyDescent="0.2">
      <c r="A877" s="194">
        <v>876</v>
      </c>
      <c r="B877" s="178" t="s">
        <v>963</v>
      </c>
      <c r="C877" s="179" t="s">
        <v>964</v>
      </c>
      <c r="D877" s="179" t="s">
        <v>1070</v>
      </c>
      <c r="E877" s="180" t="s">
        <v>2115</v>
      </c>
      <c r="F877" s="1"/>
      <c r="G877" s="76"/>
      <c r="H877" s="76"/>
      <c r="I877" s="76"/>
    </row>
    <row r="878" spans="1:9" ht="10.5" customHeight="1" x14ac:dyDescent="0.2">
      <c r="A878" s="194">
        <v>877</v>
      </c>
      <c r="B878" s="160" t="s">
        <v>965</v>
      </c>
      <c r="C878" s="175" t="s">
        <v>966</v>
      </c>
      <c r="D878" s="175" t="s">
        <v>1051</v>
      </c>
      <c r="E878" s="162" t="s">
        <v>2354</v>
      </c>
      <c r="F878" s="1"/>
      <c r="G878" s="76"/>
      <c r="H878" s="76"/>
      <c r="I878" s="76"/>
    </row>
    <row r="879" spans="1:9" ht="10.5" customHeight="1" x14ac:dyDescent="0.2">
      <c r="A879" s="194">
        <v>878</v>
      </c>
      <c r="B879" s="195" t="s">
        <v>2248</v>
      </c>
      <c r="C879" s="177" t="s">
        <v>452</v>
      </c>
      <c r="D879" s="177" t="s">
        <v>1050</v>
      </c>
      <c r="E879" s="177" t="s">
        <v>2115</v>
      </c>
      <c r="F879" s="1"/>
      <c r="G879" s="76"/>
      <c r="H879" s="76"/>
      <c r="I879" s="76"/>
    </row>
    <row r="880" spans="1:9" ht="10.5" customHeight="1" x14ac:dyDescent="0.2">
      <c r="A880" s="194">
        <v>879</v>
      </c>
      <c r="B880" s="178" t="s">
        <v>2371</v>
      </c>
      <c r="C880" s="179" t="s">
        <v>2372</v>
      </c>
      <c r="D880" s="179" t="s">
        <v>1050</v>
      </c>
      <c r="E880" s="177" t="s">
        <v>2115</v>
      </c>
      <c r="F880" s="1"/>
      <c r="G880" s="76"/>
      <c r="H880" s="76"/>
      <c r="I880" s="76"/>
    </row>
    <row r="881" spans="1:9" ht="10.5" customHeight="1" x14ac:dyDescent="0.2">
      <c r="A881" s="194">
        <v>880</v>
      </c>
      <c r="B881" s="160" t="s">
        <v>967</v>
      </c>
      <c r="C881" s="161" t="s">
        <v>968</v>
      </c>
      <c r="D881" s="161" t="s">
        <v>1050</v>
      </c>
      <c r="E881" s="162" t="s">
        <v>2115</v>
      </c>
      <c r="F881" s="1"/>
      <c r="G881" s="76"/>
      <c r="H881" s="76"/>
      <c r="I881" s="76"/>
    </row>
    <row r="882" spans="1:9" ht="10.5" customHeight="1" x14ac:dyDescent="0.2">
      <c r="A882" s="194">
        <v>881</v>
      </c>
      <c r="B882" s="178" t="s">
        <v>969</v>
      </c>
      <c r="C882" s="179" t="s">
        <v>969</v>
      </c>
      <c r="D882" s="161" t="s">
        <v>1051</v>
      </c>
      <c r="E882" s="162" t="s">
        <v>2354</v>
      </c>
      <c r="F882" s="1"/>
      <c r="G882" s="76"/>
      <c r="H882" s="76"/>
      <c r="I882" s="76"/>
    </row>
    <row r="883" spans="1:9" ht="10.5" customHeight="1" x14ac:dyDescent="0.2">
      <c r="A883" s="194">
        <v>882</v>
      </c>
      <c r="B883" s="160" t="s">
        <v>1604</v>
      </c>
      <c r="C883" s="161" t="s">
        <v>2029</v>
      </c>
      <c r="D883" s="161" t="s">
        <v>1051</v>
      </c>
      <c r="E883" s="162" t="s">
        <v>2354</v>
      </c>
      <c r="F883" s="1"/>
      <c r="G883" s="76"/>
      <c r="H883" s="76"/>
      <c r="I883" s="76"/>
    </row>
    <row r="884" spans="1:9" ht="10.5" customHeight="1" x14ac:dyDescent="0.2">
      <c r="A884" s="194">
        <v>883</v>
      </c>
      <c r="B884" s="164" t="s">
        <v>2297</v>
      </c>
      <c r="C884" s="164" t="s">
        <v>2297</v>
      </c>
      <c r="D884" s="164" t="s">
        <v>1050</v>
      </c>
      <c r="E884" s="162" t="s">
        <v>2354</v>
      </c>
      <c r="F884" s="1"/>
      <c r="G884" s="76"/>
      <c r="H884" s="76"/>
      <c r="I884" s="76"/>
    </row>
    <row r="885" spans="1:9" ht="10.5" customHeight="1" x14ac:dyDescent="0.2">
      <c r="A885" s="194">
        <v>884</v>
      </c>
      <c r="B885" s="160" t="s">
        <v>2030</v>
      </c>
      <c r="C885" s="161" t="s">
        <v>2031</v>
      </c>
      <c r="D885" s="161" t="s">
        <v>1070</v>
      </c>
      <c r="E885" s="162" t="s">
        <v>2354</v>
      </c>
      <c r="G885" s="77"/>
      <c r="H885" s="77"/>
      <c r="I885" s="78"/>
    </row>
    <row r="886" spans="1:9" ht="10.5" customHeight="1" x14ac:dyDescent="0.2">
      <c r="A886" s="194">
        <v>885</v>
      </c>
      <c r="B886" s="160" t="s">
        <v>970</v>
      </c>
      <c r="C886" s="161" t="s">
        <v>1543</v>
      </c>
      <c r="D886" s="161" t="s">
        <v>1050</v>
      </c>
      <c r="E886" s="180" t="s">
        <v>696</v>
      </c>
      <c r="G886" s="77"/>
      <c r="H886" s="77"/>
      <c r="I886" s="78"/>
    </row>
    <row r="887" spans="1:9" ht="10.5" customHeight="1" x14ac:dyDescent="0.2">
      <c r="A887" s="194">
        <v>886</v>
      </c>
      <c r="B887" s="160" t="s">
        <v>971</v>
      </c>
      <c r="C887" s="161" t="s">
        <v>1605</v>
      </c>
      <c r="D887" s="161" t="s">
        <v>1050</v>
      </c>
      <c r="E887" s="180" t="s">
        <v>696</v>
      </c>
      <c r="G887" s="77"/>
      <c r="H887" s="77"/>
      <c r="I887" s="78"/>
    </row>
    <row r="888" spans="1:9" ht="10.5" customHeight="1" x14ac:dyDescent="0.2">
      <c r="A888" s="194">
        <v>887</v>
      </c>
      <c r="B888" s="160" t="s">
        <v>972</v>
      </c>
      <c r="C888" s="161" t="s">
        <v>973</v>
      </c>
      <c r="D888" s="161" t="s">
        <v>1051</v>
      </c>
      <c r="E888" s="180" t="s">
        <v>2116</v>
      </c>
      <c r="G888" s="77"/>
      <c r="H888" s="77"/>
      <c r="I888" s="78"/>
    </row>
    <row r="889" spans="1:9" ht="10.5" customHeight="1" x14ac:dyDescent="0.2">
      <c r="A889" s="194">
        <v>888</v>
      </c>
      <c r="B889" s="173" t="s">
        <v>2334</v>
      </c>
      <c r="C889" s="174" t="s">
        <v>2335</v>
      </c>
      <c r="D889" s="174" t="s">
        <v>1050</v>
      </c>
      <c r="E889" s="196" t="s">
        <v>2116</v>
      </c>
      <c r="G889" s="77"/>
      <c r="H889" s="77"/>
      <c r="I889" s="78"/>
    </row>
    <row r="890" spans="1:9" ht="10.5" customHeight="1" x14ac:dyDescent="0.2">
      <c r="A890" s="194">
        <v>889</v>
      </c>
      <c r="B890" s="160" t="s">
        <v>974</v>
      </c>
      <c r="C890" s="161" t="s">
        <v>975</v>
      </c>
      <c r="D890" s="161" t="s">
        <v>1070</v>
      </c>
      <c r="E890" s="180" t="s">
        <v>2115</v>
      </c>
      <c r="G890" s="77"/>
      <c r="H890" s="77"/>
      <c r="I890" s="78"/>
    </row>
    <row r="891" spans="1:9" ht="10.5" customHeight="1" x14ac:dyDescent="0.2">
      <c r="A891" s="194">
        <v>890</v>
      </c>
      <c r="B891" s="160" t="s">
        <v>2262</v>
      </c>
      <c r="C891" s="161" t="s">
        <v>2262</v>
      </c>
      <c r="D891" s="161" t="s">
        <v>1050</v>
      </c>
      <c r="E891" s="162" t="s">
        <v>2354</v>
      </c>
      <c r="G891" s="77"/>
      <c r="H891" s="77"/>
      <c r="I891" s="78"/>
    </row>
    <row r="892" spans="1:9" ht="10.5" customHeight="1" x14ac:dyDescent="0.2">
      <c r="G892" s="77"/>
      <c r="H892" s="77"/>
      <c r="I892" s="78"/>
    </row>
    <row r="893" spans="1:9" ht="10.5" customHeight="1" x14ac:dyDescent="0.2">
      <c r="G893" s="77"/>
      <c r="H893" s="77"/>
      <c r="I893" s="78"/>
    </row>
    <row r="894" spans="1:9" ht="10.5" customHeight="1" x14ac:dyDescent="0.2">
      <c r="G894" s="77"/>
      <c r="H894" s="77"/>
      <c r="I894" s="78"/>
    </row>
    <row r="895" spans="1:9" ht="10.5" customHeight="1" x14ac:dyDescent="0.2">
      <c r="G895" s="77"/>
      <c r="H895" s="77"/>
      <c r="I895" s="78"/>
    </row>
    <row r="896" spans="1:9" ht="10.5" customHeight="1" x14ac:dyDescent="0.2">
      <c r="G896" s="77"/>
      <c r="H896" s="77"/>
      <c r="I896" s="78"/>
    </row>
    <row r="897" spans="7:9" ht="10.5" customHeight="1" x14ac:dyDescent="0.2">
      <c r="G897" s="77"/>
      <c r="H897" s="77"/>
      <c r="I897" s="78"/>
    </row>
    <row r="898" spans="7:9" ht="10.5" customHeight="1" x14ac:dyDescent="0.2">
      <c r="G898" s="77"/>
      <c r="H898" s="77"/>
      <c r="I898" s="78"/>
    </row>
    <row r="899" spans="7:9" ht="10.5" customHeight="1" x14ac:dyDescent="0.2">
      <c r="G899" s="77"/>
      <c r="H899" s="77"/>
      <c r="I899" s="78"/>
    </row>
    <row r="900" spans="7:9" ht="10.5" customHeight="1" x14ac:dyDescent="0.2">
      <c r="G900" s="77"/>
      <c r="H900" s="77"/>
      <c r="I900" s="78"/>
    </row>
    <row r="901" spans="7:9" ht="10.5" customHeight="1" x14ac:dyDescent="0.2">
      <c r="G901" s="77"/>
      <c r="H901" s="77"/>
      <c r="I901" s="78"/>
    </row>
    <row r="902" spans="7:9" ht="10.5" customHeight="1" x14ac:dyDescent="0.2">
      <c r="G902" s="77"/>
      <c r="H902" s="77"/>
      <c r="I902" s="78"/>
    </row>
    <row r="903" spans="7:9" ht="10.5" customHeight="1" x14ac:dyDescent="0.2">
      <c r="G903" s="77"/>
      <c r="H903" s="77"/>
      <c r="I903" s="78"/>
    </row>
    <row r="904" spans="7:9" ht="10.5" customHeight="1" x14ac:dyDescent="0.2">
      <c r="G904" s="77"/>
      <c r="H904" s="77"/>
      <c r="I904" s="78"/>
    </row>
    <row r="905" spans="7:9" ht="10.5" customHeight="1" x14ac:dyDescent="0.2">
      <c r="G905" s="77"/>
      <c r="H905" s="77"/>
      <c r="I905" s="78"/>
    </row>
    <row r="906" spans="7:9" ht="10.5" customHeight="1" x14ac:dyDescent="0.2">
      <c r="G906" s="77"/>
      <c r="H906" s="77"/>
      <c r="I906" s="78"/>
    </row>
    <row r="907" spans="7:9" ht="10.5" customHeight="1" x14ac:dyDescent="0.2">
      <c r="G907" s="77"/>
      <c r="H907" s="77"/>
      <c r="I907" s="78"/>
    </row>
  </sheetData>
  <sheetProtection algorithmName="SHA-512" hashValue="4lV3lzCTPcVZrHTzYPfMVzBedeKzzLN2P+npkekFe0ibX8OrlJTpHNCyY4LDPIf8LEXUNd718uWaFi/Q3QIyLQ==" saltValue="VWf5GdnFNy//vbJ7iZPC+w==" spinCount="100000" sheet="1" selectLockedCells="1" selectUnlockedCells="1"/>
  <autoFilter ref="B1:D907" xr:uid="{00000000-0009-0000-0000-000001000000}"/>
  <sortState xmlns:xlrd2="http://schemas.microsoft.com/office/spreadsheetml/2017/richdata2" ref="Q33:Q40">
    <sortCondition ref="Q35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BP351"/>
  <sheetViews>
    <sheetView topLeftCell="A52" workbookViewId="0">
      <selection activeCell="G340" sqref="G340"/>
    </sheetView>
  </sheetViews>
  <sheetFormatPr baseColWidth="10" defaultRowHeight="15" x14ac:dyDescent="0.25"/>
  <cols>
    <col min="2" max="2" width="43.140625" customWidth="1"/>
    <col min="3" max="3" width="23.28515625" customWidth="1"/>
    <col min="4" max="4" width="15.42578125" customWidth="1"/>
    <col min="6" max="6" width="26.5703125" customWidth="1"/>
    <col min="7" max="7" width="21.140625" customWidth="1"/>
    <col min="8" max="8" width="25.42578125" customWidth="1"/>
    <col min="9" max="9" width="16.85546875" customWidth="1"/>
    <col min="10" max="10" width="21.28515625" customWidth="1"/>
    <col min="11" max="11" width="24.42578125" customWidth="1"/>
    <col min="12" max="12" width="31.42578125" customWidth="1"/>
    <col min="13" max="13" width="17.42578125" customWidth="1"/>
    <col min="14" max="14" width="19.28515625" customWidth="1"/>
    <col min="15" max="15" width="17.42578125" customWidth="1"/>
    <col min="16" max="16" width="21.7109375" customWidth="1"/>
    <col min="17" max="17" width="18.42578125" customWidth="1"/>
    <col min="18" max="18" width="19.42578125" customWidth="1"/>
    <col min="19" max="19" width="41.7109375" customWidth="1"/>
    <col min="20" max="20" width="42" customWidth="1"/>
    <col min="21" max="21" width="29.85546875" customWidth="1"/>
  </cols>
  <sheetData>
    <row r="1" spans="1:68" ht="15.75" thickBot="1" x14ac:dyDescent="0.3"/>
    <row r="2" spans="1:68" ht="15.75" thickBot="1" x14ac:dyDescent="0.3">
      <c r="A2" s="46" t="s">
        <v>1708</v>
      </c>
      <c r="B2" s="48" t="s">
        <v>1710</v>
      </c>
      <c r="C2" s="47" t="s">
        <v>1718</v>
      </c>
      <c r="D2" s="47" t="s">
        <v>1709</v>
      </c>
      <c r="F2" s="65" t="s">
        <v>1719</v>
      </c>
      <c r="G2" s="65" t="s">
        <v>1720</v>
      </c>
      <c r="H2" s="65" t="s">
        <v>1721</v>
      </c>
      <c r="I2" s="66" t="s">
        <v>1722</v>
      </c>
      <c r="J2" s="65" t="s">
        <v>1723</v>
      </c>
      <c r="K2" s="65" t="s">
        <v>1724</v>
      </c>
      <c r="L2" s="65" t="s">
        <v>1725</v>
      </c>
      <c r="M2" s="65" t="s">
        <v>1726</v>
      </c>
      <c r="N2" s="65" t="s">
        <v>1727</v>
      </c>
      <c r="O2" s="65" t="s">
        <v>1728</v>
      </c>
      <c r="P2" s="65" t="s">
        <v>1729</v>
      </c>
      <c r="Q2" s="67" t="s">
        <v>1730</v>
      </c>
      <c r="R2" s="67" t="s">
        <v>1731</v>
      </c>
      <c r="S2" s="65" t="s">
        <v>1732</v>
      </c>
      <c r="T2" s="65" t="s">
        <v>1733</v>
      </c>
      <c r="U2" s="68" t="s">
        <v>1734</v>
      </c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6"/>
    </row>
    <row r="3" spans="1:68" x14ac:dyDescent="0.25">
      <c r="A3" s="45">
        <v>1</v>
      </c>
      <c r="B3" s="288" t="s">
        <v>980</v>
      </c>
      <c r="C3" s="33" t="s">
        <v>979</v>
      </c>
      <c r="D3" s="34" t="s">
        <v>1665</v>
      </c>
      <c r="F3" s="57" t="s">
        <v>979</v>
      </c>
      <c r="G3" s="58" t="s">
        <v>1240</v>
      </c>
      <c r="H3" s="58" t="s">
        <v>989</v>
      </c>
      <c r="I3" s="58" t="s">
        <v>990</v>
      </c>
      <c r="J3" s="58" t="s">
        <v>1251</v>
      </c>
      <c r="K3" s="58" t="s">
        <v>1000</v>
      </c>
      <c r="L3" s="58" t="s">
        <v>1370</v>
      </c>
      <c r="M3" s="58" t="s">
        <v>1010</v>
      </c>
      <c r="N3" s="58" t="s">
        <v>1012</v>
      </c>
      <c r="O3" s="58" t="s">
        <v>1019</v>
      </c>
      <c r="P3" s="58" t="s">
        <v>1418</v>
      </c>
      <c r="Q3" s="58" t="s">
        <v>964</v>
      </c>
      <c r="R3" s="58" t="s">
        <v>1346</v>
      </c>
      <c r="S3" s="58" t="s">
        <v>1695</v>
      </c>
      <c r="T3" s="58" t="s">
        <v>1035</v>
      </c>
      <c r="U3" s="59" t="s">
        <v>1413</v>
      </c>
    </row>
    <row r="4" spans="1:68" x14ac:dyDescent="0.25">
      <c r="A4" s="45">
        <v>2</v>
      </c>
      <c r="B4" s="289"/>
      <c r="C4" s="35" t="s">
        <v>1165</v>
      </c>
      <c r="D4" s="36" t="s">
        <v>1665</v>
      </c>
      <c r="F4" s="60" t="s">
        <v>1165</v>
      </c>
      <c r="G4" t="s">
        <v>1166</v>
      </c>
      <c r="H4" t="s">
        <v>1294</v>
      </c>
      <c r="I4" t="s">
        <v>1162</v>
      </c>
      <c r="J4" t="s">
        <v>1200</v>
      </c>
      <c r="K4" t="s">
        <v>1170</v>
      </c>
      <c r="L4" t="s">
        <v>1187</v>
      </c>
      <c r="M4" t="s">
        <v>1011</v>
      </c>
      <c r="N4" t="s">
        <v>1013</v>
      </c>
      <c r="O4" t="s">
        <v>1157</v>
      </c>
      <c r="P4" t="s">
        <v>1168</v>
      </c>
      <c r="Q4" t="s">
        <v>1201</v>
      </c>
      <c r="R4" t="s">
        <v>1161</v>
      </c>
      <c r="S4" t="s">
        <v>1254</v>
      </c>
      <c r="T4" t="s">
        <v>1255</v>
      </c>
      <c r="U4" s="61" t="s">
        <v>1173</v>
      </c>
    </row>
    <row r="5" spans="1:68" x14ac:dyDescent="0.25">
      <c r="A5" s="45">
        <v>3</v>
      </c>
      <c r="B5" s="289"/>
      <c r="C5" s="35" t="s">
        <v>982</v>
      </c>
      <c r="D5" s="36" t="s">
        <v>981</v>
      </c>
      <c r="F5" s="60" t="s">
        <v>982</v>
      </c>
      <c r="G5" t="s">
        <v>1192</v>
      </c>
      <c r="H5" t="s">
        <v>1414</v>
      </c>
      <c r="I5" t="s">
        <v>1421</v>
      </c>
      <c r="J5" t="s">
        <v>1153</v>
      </c>
      <c r="K5" t="s">
        <v>1198</v>
      </c>
      <c r="L5" t="s">
        <v>1190</v>
      </c>
      <c r="M5" t="s">
        <v>1207</v>
      </c>
      <c r="N5" t="s">
        <v>1179</v>
      </c>
      <c r="O5" t="s">
        <v>1185</v>
      </c>
      <c r="P5" t="s">
        <v>1202</v>
      </c>
      <c r="Q5" t="s">
        <v>1226</v>
      </c>
      <c r="R5" t="s">
        <v>1186</v>
      </c>
      <c r="S5" t="s">
        <v>1697</v>
      </c>
      <c r="T5" t="s">
        <v>1385</v>
      </c>
      <c r="U5" s="61" t="s">
        <v>1174</v>
      </c>
    </row>
    <row r="6" spans="1:68" ht="15.75" thickBot="1" x14ac:dyDescent="0.3">
      <c r="A6" s="45">
        <v>4</v>
      </c>
      <c r="B6" s="290"/>
      <c r="C6" s="37" t="s">
        <v>1228</v>
      </c>
      <c r="D6" s="38" t="s">
        <v>981</v>
      </c>
      <c r="F6" s="60" t="s">
        <v>1228</v>
      </c>
      <c r="G6" t="s">
        <v>1237</v>
      </c>
      <c r="H6" t="s">
        <v>1417</v>
      </c>
      <c r="I6" t="s">
        <v>1177</v>
      </c>
      <c r="J6" t="s">
        <v>1248</v>
      </c>
      <c r="K6" t="s">
        <v>1242</v>
      </c>
      <c r="L6" t="s">
        <v>1195</v>
      </c>
      <c r="M6" t="s">
        <v>1217</v>
      </c>
      <c r="N6" t="s">
        <v>1220</v>
      </c>
      <c r="O6" t="s">
        <v>1188</v>
      </c>
      <c r="P6" t="s">
        <v>1206</v>
      </c>
      <c r="Q6" t="s">
        <v>1252</v>
      </c>
      <c r="R6" t="s">
        <v>1223</v>
      </c>
      <c r="S6" t="s">
        <v>1028</v>
      </c>
      <c r="T6" t="s">
        <v>1397</v>
      </c>
      <c r="U6" s="61" t="s">
        <v>1197</v>
      </c>
    </row>
    <row r="7" spans="1:68" x14ac:dyDescent="0.25">
      <c r="A7" s="45">
        <v>5</v>
      </c>
      <c r="B7" s="288" t="s">
        <v>985</v>
      </c>
      <c r="C7" s="33" t="s">
        <v>1240</v>
      </c>
      <c r="D7" s="34" t="s">
        <v>1666</v>
      </c>
      <c r="F7" s="60"/>
      <c r="G7" t="s">
        <v>1332</v>
      </c>
      <c r="H7" t="s">
        <v>987</v>
      </c>
      <c r="I7" t="s">
        <v>1210</v>
      </c>
      <c r="J7" t="s">
        <v>1671</v>
      </c>
      <c r="K7" t="s">
        <v>1342</v>
      </c>
      <c r="L7" t="s">
        <v>1211</v>
      </c>
      <c r="M7" t="s">
        <v>1292</v>
      </c>
      <c r="N7" t="s">
        <v>1236</v>
      </c>
      <c r="O7" t="s">
        <v>1189</v>
      </c>
      <c r="P7" t="s">
        <v>1221</v>
      </c>
      <c r="Q7" t="s">
        <v>1253</v>
      </c>
      <c r="R7" t="s">
        <v>1224</v>
      </c>
      <c r="S7" t="s">
        <v>1231</v>
      </c>
      <c r="T7" t="s">
        <v>1159</v>
      </c>
      <c r="U7" s="61" t="s">
        <v>1212</v>
      </c>
    </row>
    <row r="8" spans="1:68" x14ac:dyDescent="0.25">
      <c r="A8" s="45">
        <v>6</v>
      </c>
      <c r="B8" s="289"/>
      <c r="C8" s="35" t="s">
        <v>1166</v>
      </c>
      <c r="D8" s="36" t="s">
        <v>983</v>
      </c>
      <c r="F8" s="60"/>
      <c r="G8" t="s">
        <v>984</v>
      </c>
      <c r="H8" t="s">
        <v>1310</v>
      </c>
      <c r="I8" t="s">
        <v>993</v>
      </c>
      <c r="J8" t="s">
        <v>1434</v>
      </c>
      <c r="K8" t="s">
        <v>1364</v>
      </c>
      <c r="L8" t="s">
        <v>1230</v>
      </c>
      <c r="M8" t="s">
        <v>1324</v>
      </c>
      <c r="N8" t="s">
        <v>1281</v>
      </c>
      <c r="O8" t="s">
        <v>1181</v>
      </c>
      <c r="P8" t="s">
        <v>1227</v>
      </c>
      <c r="Q8" t="s">
        <v>1258</v>
      </c>
      <c r="R8" t="s">
        <v>1278</v>
      </c>
      <c r="S8" t="s">
        <v>1026</v>
      </c>
      <c r="T8" t="s">
        <v>1155</v>
      </c>
      <c r="U8" s="61" t="s">
        <v>1219</v>
      </c>
    </row>
    <row r="9" spans="1:68" x14ac:dyDescent="0.25">
      <c r="A9" s="45">
        <v>7</v>
      </c>
      <c r="B9" s="289"/>
      <c r="C9" s="35" t="s">
        <v>1192</v>
      </c>
      <c r="D9" s="36" t="s">
        <v>983</v>
      </c>
      <c r="F9" s="60"/>
      <c r="G9" t="s">
        <v>1151</v>
      </c>
      <c r="H9" t="s">
        <v>1406</v>
      </c>
      <c r="I9" t="s">
        <v>1150</v>
      </c>
      <c r="J9" t="s">
        <v>995</v>
      </c>
      <c r="K9" t="s">
        <v>1368</v>
      </c>
      <c r="L9" t="s">
        <v>1259</v>
      </c>
      <c r="M9" t="s">
        <v>1327</v>
      </c>
      <c r="N9" t="s">
        <v>1328</v>
      </c>
      <c r="O9" t="s">
        <v>1213</v>
      </c>
      <c r="P9" t="s">
        <v>1229</v>
      </c>
      <c r="Q9" t="s">
        <v>1277</v>
      </c>
      <c r="R9" t="s">
        <v>1267</v>
      </c>
      <c r="S9" t="s">
        <v>1308</v>
      </c>
      <c r="T9" t="s">
        <v>1339</v>
      </c>
      <c r="U9" s="61" t="s">
        <v>1238</v>
      </c>
    </row>
    <row r="10" spans="1:68" x14ac:dyDescent="0.25">
      <c r="A10" s="45">
        <v>8</v>
      </c>
      <c r="B10" s="289"/>
      <c r="C10" s="35" t="s">
        <v>1237</v>
      </c>
      <c r="D10" s="36" t="s">
        <v>983</v>
      </c>
      <c r="F10" s="60"/>
      <c r="H10" t="s">
        <v>1424</v>
      </c>
      <c r="I10" t="s">
        <v>1222</v>
      </c>
      <c r="J10" t="s">
        <v>1167</v>
      </c>
      <c r="K10" t="s">
        <v>1437</v>
      </c>
      <c r="L10" t="s">
        <v>1283</v>
      </c>
      <c r="M10" t="s">
        <v>1381</v>
      </c>
      <c r="N10" t="s">
        <v>1687</v>
      </c>
      <c r="O10" t="s">
        <v>1304</v>
      </c>
      <c r="P10" t="s">
        <v>1261</v>
      </c>
      <c r="Q10" t="s">
        <v>1285</v>
      </c>
      <c r="R10" t="s">
        <v>1293</v>
      </c>
      <c r="S10" t="s">
        <v>1428</v>
      </c>
      <c r="T10" t="s">
        <v>1340</v>
      </c>
      <c r="U10" s="61" t="s">
        <v>1239</v>
      </c>
    </row>
    <row r="11" spans="1:68" x14ac:dyDescent="0.25">
      <c r="A11" s="45">
        <v>9</v>
      </c>
      <c r="B11" s="289"/>
      <c r="C11" s="35" t="s">
        <v>1332</v>
      </c>
      <c r="D11" s="36" t="s">
        <v>983</v>
      </c>
      <c r="F11" s="60"/>
      <c r="H11" t="s">
        <v>1289</v>
      </c>
      <c r="I11" t="s">
        <v>992</v>
      </c>
      <c r="J11" t="s">
        <v>1280</v>
      </c>
      <c r="K11" t="s">
        <v>1439</v>
      </c>
      <c r="L11" t="s">
        <v>1287</v>
      </c>
      <c r="M11" t="s">
        <v>1392</v>
      </c>
      <c r="N11" t="s">
        <v>1018</v>
      </c>
      <c r="O11" t="s">
        <v>1306</v>
      </c>
      <c r="P11" t="s">
        <v>1272</v>
      </c>
      <c r="Q11" t="s">
        <v>1291</v>
      </c>
      <c r="R11" t="s">
        <v>1348</v>
      </c>
      <c r="S11" t="s">
        <v>1180</v>
      </c>
      <c r="T11" t="s">
        <v>1422</v>
      </c>
      <c r="U11" s="61" t="s">
        <v>1243</v>
      </c>
    </row>
    <row r="12" spans="1:68" x14ac:dyDescent="0.25">
      <c r="A12" s="45">
        <v>10</v>
      </c>
      <c r="B12" s="289"/>
      <c r="C12" s="35" t="s">
        <v>984</v>
      </c>
      <c r="D12" s="36" t="s">
        <v>983</v>
      </c>
      <c r="F12" s="60"/>
      <c r="J12" t="s">
        <v>1389</v>
      </c>
      <c r="K12" t="s">
        <v>1675</v>
      </c>
      <c r="L12" t="s">
        <v>1298</v>
      </c>
      <c r="M12" t="s">
        <v>1407</v>
      </c>
      <c r="N12" t="s">
        <v>1416</v>
      </c>
      <c r="O12" t="s">
        <v>1326</v>
      </c>
      <c r="P12" t="s">
        <v>1295</v>
      </c>
      <c r="Q12" t="s">
        <v>1316</v>
      </c>
      <c r="R12" t="s">
        <v>1171</v>
      </c>
      <c r="S12" t="s">
        <v>1383</v>
      </c>
      <c r="T12" t="s">
        <v>1032</v>
      </c>
      <c r="U12" s="61" t="s">
        <v>1246</v>
      </c>
    </row>
    <row r="13" spans="1:68" ht="15.75" thickBot="1" x14ac:dyDescent="0.3">
      <c r="A13" s="45">
        <v>11</v>
      </c>
      <c r="B13" s="290"/>
      <c r="C13" s="37" t="s">
        <v>1151</v>
      </c>
      <c r="D13" s="38" t="s">
        <v>1666</v>
      </c>
      <c r="F13" s="60"/>
      <c r="J13" t="s">
        <v>1313</v>
      </c>
      <c r="K13" t="s">
        <v>1276</v>
      </c>
      <c r="L13" t="s">
        <v>1309</v>
      </c>
      <c r="M13" t="s">
        <v>1007</v>
      </c>
      <c r="N13" t="s">
        <v>1426</v>
      </c>
      <c r="O13" t="s">
        <v>1335</v>
      </c>
      <c r="P13" t="s">
        <v>1024</v>
      </c>
      <c r="Q13" t="s">
        <v>1319</v>
      </c>
      <c r="R13" t="s">
        <v>1152</v>
      </c>
      <c r="T13" t="s">
        <v>1427</v>
      </c>
      <c r="U13" s="61" t="s">
        <v>1247</v>
      </c>
    </row>
    <row r="14" spans="1:68" x14ac:dyDescent="0.25">
      <c r="A14" s="45">
        <v>12</v>
      </c>
      <c r="B14" s="288" t="s">
        <v>988</v>
      </c>
      <c r="C14" s="33" t="s">
        <v>989</v>
      </c>
      <c r="D14" s="34" t="s">
        <v>989</v>
      </c>
      <c r="F14" s="60"/>
      <c r="J14" t="s">
        <v>1196</v>
      </c>
      <c r="K14" t="s">
        <v>1164</v>
      </c>
      <c r="L14" t="s">
        <v>273</v>
      </c>
      <c r="M14" t="s">
        <v>1176</v>
      </c>
      <c r="N14" t="s">
        <v>1235</v>
      </c>
      <c r="O14" t="s">
        <v>1338</v>
      </c>
      <c r="P14" t="s">
        <v>1315</v>
      </c>
      <c r="Q14" t="s">
        <v>1380</v>
      </c>
      <c r="R14" t="s">
        <v>1184</v>
      </c>
      <c r="U14" s="61" t="s">
        <v>1249</v>
      </c>
    </row>
    <row r="15" spans="1:68" x14ac:dyDescent="0.25">
      <c r="A15" s="45">
        <v>13</v>
      </c>
      <c r="B15" s="289"/>
      <c r="C15" s="35" t="s">
        <v>1294</v>
      </c>
      <c r="D15" s="36" t="s">
        <v>989</v>
      </c>
      <c r="F15" s="60"/>
      <c r="J15" t="s">
        <v>1297</v>
      </c>
      <c r="K15" t="s">
        <v>1379</v>
      </c>
      <c r="L15" t="s">
        <v>1333</v>
      </c>
      <c r="M15" t="s">
        <v>1325</v>
      </c>
      <c r="N15" t="s">
        <v>1262</v>
      </c>
      <c r="O15" t="s">
        <v>1362</v>
      </c>
      <c r="P15" t="s">
        <v>1331</v>
      </c>
      <c r="R15" t="s">
        <v>1204</v>
      </c>
      <c r="U15" s="61" t="s">
        <v>1250</v>
      </c>
    </row>
    <row r="16" spans="1:68" x14ac:dyDescent="0.25">
      <c r="A16" s="45">
        <v>14</v>
      </c>
      <c r="B16" s="289"/>
      <c r="C16" s="35" t="s">
        <v>1414</v>
      </c>
      <c r="D16" s="36" t="s">
        <v>989</v>
      </c>
      <c r="F16" s="60"/>
      <c r="J16" t="s">
        <v>1350</v>
      </c>
      <c r="K16" t="s">
        <v>1393</v>
      </c>
      <c r="L16" t="s">
        <v>1366</v>
      </c>
      <c r="M16" t="s">
        <v>1208</v>
      </c>
      <c r="N16" t="s">
        <v>1014</v>
      </c>
      <c r="O16" t="s">
        <v>1369</v>
      </c>
      <c r="P16" t="s">
        <v>1336</v>
      </c>
      <c r="R16" t="s">
        <v>1209</v>
      </c>
      <c r="U16" s="61" t="s">
        <v>1260</v>
      </c>
    </row>
    <row r="17" spans="1:21" x14ac:dyDescent="0.25">
      <c r="A17" s="45">
        <v>15</v>
      </c>
      <c r="B17" s="289"/>
      <c r="C17" s="35" t="s">
        <v>1417</v>
      </c>
      <c r="D17" s="36" t="s">
        <v>989</v>
      </c>
      <c r="F17" s="60"/>
      <c r="J17" t="s">
        <v>1382</v>
      </c>
      <c r="K17" t="s">
        <v>998</v>
      </c>
      <c r="L17" t="s">
        <v>1376</v>
      </c>
      <c r="M17" t="s">
        <v>1234</v>
      </c>
      <c r="N17" t="s">
        <v>1015</v>
      </c>
      <c r="O17" t="s">
        <v>1371</v>
      </c>
      <c r="P17" t="s">
        <v>1343</v>
      </c>
      <c r="R17" t="s">
        <v>1351</v>
      </c>
      <c r="U17" s="61" t="s">
        <v>1268</v>
      </c>
    </row>
    <row r="18" spans="1:21" x14ac:dyDescent="0.25">
      <c r="A18" s="45">
        <v>16</v>
      </c>
      <c r="B18" s="289"/>
      <c r="C18" s="35" t="s">
        <v>987</v>
      </c>
      <c r="D18" s="36" t="s">
        <v>986</v>
      </c>
      <c r="F18" s="60"/>
      <c r="K18" t="s">
        <v>1158</v>
      </c>
      <c r="L18" t="s">
        <v>1377</v>
      </c>
      <c r="M18" t="s">
        <v>1263</v>
      </c>
      <c r="N18" t="s">
        <v>1199</v>
      </c>
      <c r="O18" t="s">
        <v>1391</v>
      </c>
      <c r="P18" t="s">
        <v>1387</v>
      </c>
      <c r="R18" t="s">
        <v>1356</v>
      </c>
      <c r="U18" s="61" t="s">
        <v>1269</v>
      </c>
    </row>
    <row r="19" spans="1:21" x14ac:dyDescent="0.25">
      <c r="A19" s="45">
        <v>17</v>
      </c>
      <c r="B19" s="289"/>
      <c r="C19" s="35" t="s">
        <v>1310</v>
      </c>
      <c r="D19" s="36" t="s">
        <v>986</v>
      </c>
      <c r="F19" s="60"/>
      <c r="K19" t="s">
        <v>1321</v>
      </c>
      <c r="L19" t="s">
        <v>1410</v>
      </c>
      <c r="M19" t="s">
        <v>1296</v>
      </c>
      <c r="N19" t="s">
        <v>1205</v>
      </c>
      <c r="O19" t="s">
        <v>1394</v>
      </c>
      <c r="P19" t="s">
        <v>1420</v>
      </c>
      <c r="R19" t="s">
        <v>1357</v>
      </c>
      <c r="U19" s="61" t="s">
        <v>1270</v>
      </c>
    </row>
    <row r="20" spans="1:21" x14ac:dyDescent="0.25">
      <c r="A20" s="45">
        <v>18</v>
      </c>
      <c r="B20" s="289"/>
      <c r="C20" s="35" t="s">
        <v>1406</v>
      </c>
      <c r="D20" s="36" t="s">
        <v>986</v>
      </c>
      <c r="F20" s="60"/>
      <c r="K20" t="s">
        <v>997</v>
      </c>
      <c r="L20" t="s">
        <v>1334</v>
      </c>
      <c r="M20" t="s">
        <v>1372</v>
      </c>
      <c r="N20" t="s">
        <v>1275</v>
      </c>
      <c r="O20" t="s">
        <v>1398</v>
      </c>
      <c r="P20" t="s">
        <v>1425</v>
      </c>
      <c r="R20" t="s">
        <v>1358</v>
      </c>
      <c r="U20" s="61" t="s">
        <v>1284</v>
      </c>
    </row>
    <row r="21" spans="1:21" x14ac:dyDescent="0.25">
      <c r="A21" s="45">
        <v>19</v>
      </c>
      <c r="B21" s="289"/>
      <c r="C21" s="35" t="s">
        <v>1424</v>
      </c>
      <c r="D21" s="36" t="s">
        <v>1667</v>
      </c>
      <c r="F21" s="60"/>
      <c r="K21" t="s">
        <v>1444</v>
      </c>
      <c r="L21" t="s">
        <v>1245</v>
      </c>
      <c r="M21" t="s">
        <v>1386</v>
      </c>
      <c r="N21" t="s">
        <v>1423</v>
      </c>
      <c r="O21" t="s">
        <v>1404</v>
      </c>
      <c r="P21" t="s">
        <v>1435</v>
      </c>
      <c r="R21" t="s">
        <v>1365</v>
      </c>
      <c r="U21" s="61" t="s">
        <v>1286</v>
      </c>
    </row>
    <row r="22" spans="1:21" ht="15.75" thickBot="1" x14ac:dyDescent="0.3">
      <c r="A22" s="45">
        <v>20</v>
      </c>
      <c r="B22" s="290"/>
      <c r="C22" s="37" t="s">
        <v>1289</v>
      </c>
      <c r="D22" s="38" t="s">
        <v>1667</v>
      </c>
      <c r="F22" s="60"/>
      <c r="K22" t="s">
        <v>1363</v>
      </c>
      <c r="L22" t="s">
        <v>1265</v>
      </c>
      <c r="M22" t="s">
        <v>1388</v>
      </c>
      <c r="N22" t="s">
        <v>1017</v>
      </c>
      <c r="O22" t="s">
        <v>1430</v>
      </c>
      <c r="P22" t="s">
        <v>1438</v>
      </c>
      <c r="R22" t="s">
        <v>1312</v>
      </c>
      <c r="U22" s="61" t="s">
        <v>1307</v>
      </c>
    </row>
    <row r="23" spans="1:21" x14ac:dyDescent="0.25">
      <c r="A23" s="45">
        <v>21</v>
      </c>
      <c r="B23" s="291" t="s">
        <v>991</v>
      </c>
      <c r="C23" s="39" t="s">
        <v>990</v>
      </c>
      <c r="D23" s="40" t="s">
        <v>1668</v>
      </c>
      <c r="F23" s="60"/>
      <c r="K23" t="s">
        <v>1679</v>
      </c>
      <c r="L23" t="s">
        <v>1288</v>
      </c>
      <c r="M23" t="s">
        <v>1419</v>
      </c>
      <c r="N23" t="s">
        <v>1156</v>
      </c>
      <c r="O23" t="s">
        <v>1443</v>
      </c>
      <c r="P23" t="s">
        <v>1183</v>
      </c>
      <c r="R23" t="s">
        <v>1347</v>
      </c>
      <c r="U23" s="61" t="s">
        <v>1704</v>
      </c>
    </row>
    <row r="24" spans="1:21" x14ac:dyDescent="0.25">
      <c r="A24" s="45">
        <v>22</v>
      </c>
      <c r="B24" s="292"/>
      <c r="C24" s="41" t="s">
        <v>1162</v>
      </c>
      <c r="D24" s="42" t="s">
        <v>1668</v>
      </c>
      <c r="F24" s="60"/>
      <c r="K24" t="s">
        <v>1232</v>
      </c>
      <c r="L24" t="s">
        <v>1302</v>
      </c>
      <c r="M24" t="s">
        <v>1432</v>
      </c>
      <c r="N24" t="s">
        <v>1160</v>
      </c>
      <c r="P24" t="s">
        <v>1154</v>
      </c>
      <c r="R24" t="s">
        <v>1353</v>
      </c>
      <c r="U24" s="61" t="s">
        <v>1330</v>
      </c>
    </row>
    <row r="25" spans="1:21" x14ac:dyDescent="0.25">
      <c r="A25" s="45">
        <v>23</v>
      </c>
      <c r="B25" s="292"/>
      <c r="C25" s="41" t="s">
        <v>1421</v>
      </c>
      <c r="D25" s="42" t="s">
        <v>1668</v>
      </c>
      <c r="F25" s="60"/>
      <c r="K25" t="s">
        <v>1244</v>
      </c>
      <c r="L25" t="s">
        <v>1322</v>
      </c>
      <c r="M25" t="s">
        <v>1009</v>
      </c>
      <c r="N25" t="s">
        <v>1256</v>
      </c>
      <c r="P25" t="s">
        <v>1194</v>
      </c>
      <c r="R25" t="s">
        <v>1355</v>
      </c>
      <c r="U25" s="61" t="s">
        <v>1341</v>
      </c>
    </row>
    <row r="26" spans="1:21" x14ac:dyDescent="0.25">
      <c r="A26" s="45">
        <v>24</v>
      </c>
      <c r="B26" s="292"/>
      <c r="C26" s="41" t="s">
        <v>1177</v>
      </c>
      <c r="D26" s="42" t="s">
        <v>1669</v>
      </c>
      <c r="F26" s="60"/>
      <c r="K26" t="s">
        <v>1264</v>
      </c>
      <c r="L26" t="s">
        <v>1396</v>
      </c>
      <c r="M26" t="s">
        <v>1191</v>
      </c>
      <c r="N26" t="s">
        <v>1299</v>
      </c>
      <c r="P26" t="s">
        <v>1021</v>
      </c>
      <c r="R26" t="s">
        <v>1384</v>
      </c>
      <c r="U26" s="61" t="s">
        <v>1344</v>
      </c>
    </row>
    <row r="27" spans="1:21" x14ac:dyDescent="0.25">
      <c r="A27" s="45">
        <v>25</v>
      </c>
      <c r="B27" s="292"/>
      <c r="C27" s="41" t="s">
        <v>1210</v>
      </c>
      <c r="D27" s="42" t="s">
        <v>1669</v>
      </c>
      <c r="F27" s="60"/>
      <c r="K27" t="s">
        <v>1305</v>
      </c>
      <c r="L27" t="s">
        <v>1178</v>
      </c>
      <c r="M27" t="s">
        <v>1273</v>
      </c>
      <c r="N27" t="s">
        <v>1300</v>
      </c>
      <c r="P27" t="s">
        <v>1218</v>
      </c>
      <c r="R27" t="s">
        <v>1402</v>
      </c>
      <c r="U27" s="61" t="s">
        <v>1360</v>
      </c>
    </row>
    <row r="28" spans="1:21" x14ac:dyDescent="0.25">
      <c r="A28" s="45">
        <v>26</v>
      </c>
      <c r="B28" s="292"/>
      <c r="C28" s="41" t="s">
        <v>993</v>
      </c>
      <c r="D28" s="42" t="s">
        <v>992</v>
      </c>
      <c r="F28" s="60"/>
      <c r="K28" t="s">
        <v>1311</v>
      </c>
      <c r="L28" t="s">
        <v>1182</v>
      </c>
      <c r="M28" t="s">
        <v>1323</v>
      </c>
      <c r="N28" t="s">
        <v>1303</v>
      </c>
      <c r="P28" t="s">
        <v>1274</v>
      </c>
      <c r="R28" t="s">
        <v>1405</v>
      </c>
      <c r="U28" s="61" t="s">
        <v>1367</v>
      </c>
    </row>
    <row r="29" spans="1:21" x14ac:dyDescent="0.25">
      <c r="A29" s="45">
        <v>27</v>
      </c>
      <c r="B29" s="292"/>
      <c r="C29" s="41" t="s">
        <v>1150</v>
      </c>
      <c r="D29" s="42" t="s">
        <v>992</v>
      </c>
      <c r="F29" s="60"/>
      <c r="K29" t="s">
        <v>1001</v>
      </c>
      <c r="L29" t="s">
        <v>1271</v>
      </c>
      <c r="M29" t="s">
        <v>1378</v>
      </c>
      <c r="N29" t="s">
        <v>1359</v>
      </c>
      <c r="P29" t="s">
        <v>1279</v>
      </c>
      <c r="R29" t="s">
        <v>1175</v>
      </c>
      <c r="U29" s="61" t="s">
        <v>1373</v>
      </c>
    </row>
    <row r="30" spans="1:21" x14ac:dyDescent="0.25">
      <c r="A30" s="45">
        <v>28</v>
      </c>
      <c r="B30" s="292"/>
      <c r="C30" s="41" t="s">
        <v>1222</v>
      </c>
      <c r="D30" s="42" t="s">
        <v>992</v>
      </c>
      <c r="F30" s="60"/>
      <c r="K30" t="s">
        <v>758</v>
      </c>
      <c r="L30" t="s">
        <v>1301</v>
      </c>
      <c r="M30" t="s">
        <v>1399</v>
      </c>
      <c r="N30" t="s">
        <v>1361</v>
      </c>
      <c r="P30" t="s">
        <v>1282</v>
      </c>
      <c r="R30" t="s">
        <v>1225</v>
      </c>
      <c r="U30" s="61" t="s">
        <v>1375</v>
      </c>
    </row>
    <row r="31" spans="1:21" ht="15.75" thickBot="1" x14ac:dyDescent="0.3">
      <c r="A31" s="45">
        <v>29</v>
      </c>
      <c r="B31" s="293"/>
      <c r="C31" s="43" t="s">
        <v>992</v>
      </c>
      <c r="D31" s="44" t="s">
        <v>992</v>
      </c>
      <c r="F31" s="60"/>
      <c r="K31" t="s">
        <v>1169</v>
      </c>
      <c r="L31" t="s">
        <v>133</v>
      </c>
      <c r="M31" t="s">
        <v>1436</v>
      </c>
      <c r="N31" t="s">
        <v>1409</v>
      </c>
      <c r="P31" t="s">
        <v>1352</v>
      </c>
      <c r="R31" t="s">
        <v>1233</v>
      </c>
      <c r="U31" s="61" t="s">
        <v>1400</v>
      </c>
    </row>
    <row r="32" spans="1:21" x14ac:dyDescent="0.25">
      <c r="A32" s="45">
        <v>30</v>
      </c>
      <c r="B32" s="288" t="s">
        <v>996</v>
      </c>
      <c r="C32" s="33" t="s">
        <v>1251</v>
      </c>
      <c r="D32" s="34" t="s">
        <v>1670</v>
      </c>
      <c r="F32" s="60"/>
      <c r="K32" t="s">
        <v>1215</v>
      </c>
      <c r="L32" t="s">
        <v>236</v>
      </c>
      <c r="M32" t="s">
        <v>1441</v>
      </c>
      <c r="N32" t="s">
        <v>1411</v>
      </c>
      <c r="P32" t="s">
        <v>1374</v>
      </c>
      <c r="R32" t="s">
        <v>1318</v>
      </c>
      <c r="U32" s="61" t="s">
        <v>1403</v>
      </c>
    </row>
    <row r="33" spans="1:21" x14ac:dyDescent="0.25">
      <c r="A33" s="45">
        <v>31</v>
      </c>
      <c r="B33" s="289"/>
      <c r="C33" s="35" t="s">
        <v>1200</v>
      </c>
      <c r="D33" s="36" t="s">
        <v>1670</v>
      </c>
      <c r="F33" s="60"/>
      <c r="K33" t="s">
        <v>1216</v>
      </c>
      <c r="L33" t="s">
        <v>1337</v>
      </c>
      <c r="N33" t="s">
        <v>1431</v>
      </c>
      <c r="P33" t="s">
        <v>1429</v>
      </c>
      <c r="U33" s="61" t="s">
        <v>1408</v>
      </c>
    </row>
    <row r="34" spans="1:21" x14ac:dyDescent="0.25">
      <c r="A34" s="45">
        <v>32</v>
      </c>
      <c r="B34" s="289"/>
      <c r="C34" s="35" t="s">
        <v>1153</v>
      </c>
      <c r="D34" s="36" t="s">
        <v>1670</v>
      </c>
      <c r="F34" s="60"/>
      <c r="K34" t="s">
        <v>1002</v>
      </c>
      <c r="L34" t="s">
        <v>1349</v>
      </c>
      <c r="N34" t="s">
        <v>1442</v>
      </c>
      <c r="P34" t="s">
        <v>1433</v>
      </c>
      <c r="U34" s="61" t="s">
        <v>1440</v>
      </c>
    </row>
    <row r="35" spans="1:21" x14ac:dyDescent="0.25">
      <c r="A35" s="45">
        <v>33</v>
      </c>
      <c r="B35" s="289"/>
      <c r="C35" s="35" t="s">
        <v>1248</v>
      </c>
      <c r="D35" s="36" t="s">
        <v>1670</v>
      </c>
      <c r="F35" s="60"/>
      <c r="K35" t="s">
        <v>1395</v>
      </c>
      <c r="L35" t="s">
        <v>1006</v>
      </c>
      <c r="N35" t="s">
        <v>1149</v>
      </c>
      <c r="U35" s="61" t="s">
        <v>1345</v>
      </c>
    </row>
    <row r="36" spans="1:21" x14ac:dyDescent="0.25">
      <c r="A36" s="45">
        <v>34</v>
      </c>
      <c r="B36" s="289"/>
      <c r="C36" s="35" t="s">
        <v>1671</v>
      </c>
      <c r="D36" s="36" t="s">
        <v>1670</v>
      </c>
      <c r="F36" s="60"/>
      <c r="K36" t="s">
        <v>1172</v>
      </c>
      <c r="U36" s="61" t="s">
        <v>1039</v>
      </c>
    </row>
    <row r="37" spans="1:21" x14ac:dyDescent="0.25">
      <c r="A37" s="45">
        <v>35</v>
      </c>
      <c r="B37" s="289"/>
      <c r="C37" s="35" t="s">
        <v>1434</v>
      </c>
      <c r="D37" s="36" t="s">
        <v>1670</v>
      </c>
      <c r="F37" s="60"/>
      <c r="K37" t="s">
        <v>1266</v>
      </c>
      <c r="U37" s="61" t="s">
        <v>1401</v>
      </c>
    </row>
    <row r="38" spans="1:21" x14ac:dyDescent="0.25">
      <c r="A38" s="45">
        <v>36</v>
      </c>
      <c r="B38" s="289"/>
      <c r="C38" s="35" t="s">
        <v>995</v>
      </c>
      <c r="D38" s="36" t="s">
        <v>994</v>
      </c>
      <c r="F38" s="60"/>
      <c r="K38" t="s">
        <v>1320</v>
      </c>
      <c r="U38" s="61" t="s">
        <v>1193</v>
      </c>
    </row>
    <row r="39" spans="1:21" x14ac:dyDescent="0.25">
      <c r="A39" s="45">
        <v>37</v>
      </c>
      <c r="B39" s="289"/>
      <c r="C39" s="35" t="s">
        <v>1167</v>
      </c>
      <c r="D39" s="36" t="s">
        <v>994</v>
      </c>
      <c r="F39" s="60"/>
      <c r="K39" t="s">
        <v>1354</v>
      </c>
      <c r="U39" s="61" t="s">
        <v>1257</v>
      </c>
    </row>
    <row r="40" spans="1:21" x14ac:dyDescent="0.25">
      <c r="A40" s="45">
        <v>38</v>
      </c>
      <c r="B40" s="289"/>
      <c r="C40" s="35" t="s">
        <v>1280</v>
      </c>
      <c r="D40" s="36" t="s">
        <v>994</v>
      </c>
      <c r="F40" s="60"/>
      <c r="K40" t="s">
        <v>1412</v>
      </c>
      <c r="U40" s="61" t="s">
        <v>1706</v>
      </c>
    </row>
    <row r="41" spans="1:21" x14ac:dyDescent="0.25">
      <c r="A41" s="45">
        <v>39</v>
      </c>
      <c r="B41" s="289"/>
      <c r="C41" s="35" t="s">
        <v>1389</v>
      </c>
      <c r="D41" s="36" t="s">
        <v>994</v>
      </c>
      <c r="F41" s="60"/>
      <c r="U41" s="61" t="s">
        <v>1390</v>
      </c>
    </row>
    <row r="42" spans="1:21" x14ac:dyDescent="0.25">
      <c r="A42" s="45">
        <v>40</v>
      </c>
      <c r="B42" s="289"/>
      <c r="C42" s="35" t="s">
        <v>1313</v>
      </c>
      <c r="D42" s="36" t="s">
        <v>1672</v>
      </c>
      <c r="F42" s="60"/>
      <c r="U42" s="61" t="s">
        <v>1037</v>
      </c>
    </row>
    <row r="43" spans="1:21" x14ac:dyDescent="0.25">
      <c r="A43" s="45">
        <v>41</v>
      </c>
      <c r="B43" s="289"/>
      <c r="C43" s="35" t="s">
        <v>1196</v>
      </c>
      <c r="D43" s="36" t="s">
        <v>1672</v>
      </c>
      <c r="F43" s="60"/>
      <c r="U43" s="61" t="s">
        <v>1163</v>
      </c>
    </row>
    <row r="44" spans="1:21" x14ac:dyDescent="0.25">
      <c r="A44" s="45">
        <v>42</v>
      </c>
      <c r="B44" s="289"/>
      <c r="C44" s="35" t="s">
        <v>1297</v>
      </c>
      <c r="D44" s="36" t="s">
        <v>1672</v>
      </c>
      <c r="F44" s="60"/>
      <c r="U44" s="61" t="s">
        <v>1317</v>
      </c>
    </row>
    <row r="45" spans="1:21" x14ac:dyDescent="0.25">
      <c r="A45" s="45">
        <v>43</v>
      </c>
      <c r="B45" s="289"/>
      <c r="C45" s="35" t="s">
        <v>1350</v>
      </c>
      <c r="D45" s="36" t="s">
        <v>1672</v>
      </c>
      <c r="F45" s="60"/>
      <c r="U45" s="61" t="s">
        <v>1040</v>
      </c>
    </row>
    <row r="46" spans="1:21" ht="15.75" thickBot="1" x14ac:dyDescent="0.3">
      <c r="A46" s="45">
        <v>44</v>
      </c>
      <c r="B46" s="290"/>
      <c r="C46" s="37" t="s">
        <v>1382</v>
      </c>
      <c r="D46" s="38" t="s">
        <v>1672</v>
      </c>
      <c r="F46" s="60"/>
      <c r="U46" s="61" t="s">
        <v>1148</v>
      </c>
    </row>
    <row r="47" spans="1:21" x14ac:dyDescent="0.25">
      <c r="A47" s="45">
        <v>45</v>
      </c>
      <c r="B47" s="288" t="s">
        <v>999</v>
      </c>
      <c r="C47" s="33" t="s">
        <v>1000</v>
      </c>
      <c r="D47" s="34" t="s">
        <v>1673</v>
      </c>
      <c r="F47" s="60"/>
      <c r="U47" s="61" t="s">
        <v>1203</v>
      </c>
    </row>
    <row r="48" spans="1:21" x14ac:dyDescent="0.25">
      <c r="A48" s="45">
        <v>46</v>
      </c>
      <c r="B48" s="289"/>
      <c r="C48" s="35" t="s">
        <v>1170</v>
      </c>
      <c r="D48" s="36" t="s">
        <v>1673</v>
      </c>
      <c r="F48" s="60"/>
      <c r="U48" s="61" t="s">
        <v>1290</v>
      </c>
    </row>
    <row r="49" spans="1:21" x14ac:dyDescent="0.25">
      <c r="A49" s="45">
        <v>47</v>
      </c>
      <c r="B49" s="289"/>
      <c r="C49" s="35" t="s">
        <v>1198</v>
      </c>
      <c r="D49" s="36" t="s">
        <v>1673</v>
      </c>
      <c r="F49" s="60"/>
      <c r="U49" s="61" t="s">
        <v>1041</v>
      </c>
    </row>
    <row r="50" spans="1:21" x14ac:dyDescent="0.25">
      <c r="A50" s="45">
        <v>48</v>
      </c>
      <c r="B50" s="289"/>
      <c r="C50" s="35" t="s">
        <v>1242</v>
      </c>
      <c r="D50" s="36" t="s">
        <v>1673</v>
      </c>
      <c r="F50" s="60"/>
      <c r="U50" s="61" t="s">
        <v>1415</v>
      </c>
    </row>
    <row r="51" spans="1:21" x14ac:dyDescent="0.25">
      <c r="A51" s="45">
        <v>49</v>
      </c>
      <c r="B51" s="289"/>
      <c r="C51" s="35" t="s">
        <v>1342</v>
      </c>
      <c r="D51" s="36" t="s">
        <v>1673</v>
      </c>
      <c r="F51" s="60"/>
      <c r="U51" s="61" t="s">
        <v>1214</v>
      </c>
    </row>
    <row r="52" spans="1:21" x14ac:dyDescent="0.25">
      <c r="A52" s="45">
        <v>50</v>
      </c>
      <c r="B52" s="289"/>
      <c r="C52" s="35" t="s">
        <v>1364</v>
      </c>
      <c r="D52" s="36" t="s">
        <v>1674</v>
      </c>
      <c r="F52" s="60"/>
      <c r="U52" s="61" t="s">
        <v>1241</v>
      </c>
    </row>
    <row r="53" spans="1:21" x14ac:dyDescent="0.25">
      <c r="A53" s="45">
        <v>51</v>
      </c>
      <c r="B53" s="289"/>
      <c r="C53" s="35" t="s">
        <v>1368</v>
      </c>
      <c r="D53" s="36" t="s">
        <v>1673</v>
      </c>
      <c r="F53" s="60"/>
      <c r="U53" s="61" t="s">
        <v>1314</v>
      </c>
    </row>
    <row r="54" spans="1:21" ht="15.75" thickBot="1" x14ac:dyDescent="0.3">
      <c r="A54" s="45">
        <v>52</v>
      </c>
      <c r="B54" s="289"/>
      <c r="C54" s="35" t="s">
        <v>1437</v>
      </c>
      <c r="D54" s="36" t="s">
        <v>1674</v>
      </c>
      <c r="F54" s="62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4" t="s">
        <v>1329</v>
      </c>
    </row>
    <row r="55" spans="1:21" x14ac:dyDescent="0.25">
      <c r="A55" s="45">
        <v>53</v>
      </c>
      <c r="B55" s="289"/>
      <c r="C55" s="35" t="s">
        <v>1439</v>
      </c>
      <c r="D55" s="36" t="s">
        <v>1673</v>
      </c>
    </row>
    <row r="56" spans="1:21" x14ac:dyDescent="0.25">
      <c r="A56" s="45">
        <v>54</v>
      </c>
      <c r="B56" s="289"/>
      <c r="C56" s="35" t="s">
        <v>1675</v>
      </c>
      <c r="D56" s="36" t="s">
        <v>1676</v>
      </c>
    </row>
    <row r="57" spans="1:21" x14ac:dyDescent="0.25">
      <c r="A57" s="45">
        <v>55</v>
      </c>
      <c r="B57" s="289"/>
      <c r="C57" s="35" t="s">
        <v>1276</v>
      </c>
      <c r="D57" s="36" t="s">
        <v>1677</v>
      </c>
    </row>
    <row r="58" spans="1:21" x14ac:dyDescent="0.25">
      <c r="A58" s="45">
        <v>56</v>
      </c>
      <c r="B58" s="289"/>
      <c r="C58" s="35" t="s">
        <v>1164</v>
      </c>
      <c r="D58" s="36" t="s">
        <v>1677</v>
      </c>
    </row>
    <row r="59" spans="1:21" x14ac:dyDescent="0.25">
      <c r="A59" s="45">
        <v>57</v>
      </c>
      <c r="B59" s="289"/>
      <c r="C59" s="35" t="s">
        <v>1379</v>
      </c>
      <c r="D59" s="36" t="s">
        <v>1677</v>
      </c>
    </row>
    <row r="60" spans="1:21" x14ac:dyDescent="0.25">
      <c r="A60" s="45">
        <v>58</v>
      </c>
      <c r="B60" s="289"/>
      <c r="C60" s="35" t="s">
        <v>1393</v>
      </c>
      <c r="D60" s="36" t="s">
        <v>1677</v>
      </c>
    </row>
    <row r="61" spans="1:21" x14ac:dyDescent="0.25">
      <c r="A61" s="45">
        <v>59</v>
      </c>
      <c r="B61" s="289"/>
      <c r="C61" s="35" t="s">
        <v>998</v>
      </c>
      <c r="D61" s="36" t="s">
        <v>997</v>
      </c>
    </row>
    <row r="62" spans="1:21" x14ac:dyDescent="0.25">
      <c r="A62" s="45">
        <v>60</v>
      </c>
      <c r="B62" s="289"/>
      <c r="C62" s="35" t="s">
        <v>1158</v>
      </c>
      <c r="D62" s="36" t="s">
        <v>997</v>
      </c>
    </row>
    <row r="63" spans="1:21" x14ac:dyDescent="0.25">
      <c r="A63" s="45">
        <v>61</v>
      </c>
      <c r="B63" s="289"/>
      <c r="C63" s="35" t="s">
        <v>1321</v>
      </c>
      <c r="D63" s="36" t="s">
        <v>997</v>
      </c>
    </row>
    <row r="64" spans="1:21" x14ac:dyDescent="0.25">
      <c r="A64" s="45">
        <v>62</v>
      </c>
      <c r="B64" s="289"/>
      <c r="C64" s="35" t="s">
        <v>997</v>
      </c>
      <c r="D64" s="36" t="s">
        <v>997</v>
      </c>
    </row>
    <row r="65" spans="1:4" x14ac:dyDescent="0.25">
      <c r="A65" s="45">
        <v>63</v>
      </c>
      <c r="B65" s="289"/>
      <c r="C65" s="35" t="s">
        <v>1444</v>
      </c>
      <c r="D65" s="36" t="s">
        <v>997</v>
      </c>
    </row>
    <row r="66" spans="1:4" x14ac:dyDescent="0.25">
      <c r="A66" s="45">
        <v>64</v>
      </c>
      <c r="B66" s="289"/>
      <c r="C66" s="35" t="s">
        <v>1363</v>
      </c>
      <c r="D66" s="36" t="s">
        <v>1678</v>
      </c>
    </row>
    <row r="67" spans="1:4" x14ac:dyDescent="0.25">
      <c r="A67" s="45">
        <v>65</v>
      </c>
      <c r="B67" s="289"/>
      <c r="C67" s="35" t="s">
        <v>1679</v>
      </c>
      <c r="D67" s="36" t="s">
        <v>1678</v>
      </c>
    </row>
    <row r="68" spans="1:4" x14ac:dyDescent="0.25">
      <c r="A68" s="45">
        <v>66</v>
      </c>
      <c r="B68" s="289"/>
      <c r="C68" s="35" t="s">
        <v>1232</v>
      </c>
      <c r="D68" s="36" t="s">
        <v>1678</v>
      </c>
    </row>
    <row r="69" spans="1:4" x14ac:dyDescent="0.25">
      <c r="A69" s="45">
        <v>67</v>
      </c>
      <c r="B69" s="289"/>
      <c r="C69" s="35" t="s">
        <v>1244</v>
      </c>
      <c r="D69" s="36" t="s">
        <v>1678</v>
      </c>
    </row>
    <row r="70" spans="1:4" x14ac:dyDescent="0.25">
      <c r="A70" s="45">
        <v>68</v>
      </c>
      <c r="B70" s="289"/>
      <c r="C70" s="35" t="s">
        <v>1264</v>
      </c>
      <c r="D70" s="36" t="s">
        <v>1674</v>
      </c>
    </row>
    <row r="71" spans="1:4" x14ac:dyDescent="0.25">
      <c r="A71" s="45">
        <v>69</v>
      </c>
      <c r="B71" s="289"/>
      <c r="C71" s="35" t="s">
        <v>1305</v>
      </c>
      <c r="D71" s="36" t="s">
        <v>1678</v>
      </c>
    </row>
    <row r="72" spans="1:4" x14ac:dyDescent="0.25">
      <c r="A72" s="45">
        <v>70</v>
      </c>
      <c r="B72" s="289"/>
      <c r="C72" s="35" t="s">
        <v>1311</v>
      </c>
      <c r="D72" s="36" t="s">
        <v>1674</v>
      </c>
    </row>
    <row r="73" spans="1:4" x14ac:dyDescent="0.25">
      <c r="A73" s="45">
        <v>71</v>
      </c>
      <c r="B73" s="289"/>
      <c r="C73" s="35" t="s">
        <v>1001</v>
      </c>
      <c r="D73" s="36" t="s">
        <v>1680</v>
      </c>
    </row>
    <row r="74" spans="1:4" x14ac:dyDescent="0.25">
      <c r="A74" s="45">
        <v>72</v>
      </c>
      <c r="B74" s="289"/>
      <c r="C74" s="35" t="s">
        <v>758</v>
      </c>
      <c r="D74" s="36" t="s">
        <v>1680</v>
      </c>
    </row>
    <row r="75" spans="1:4" x14ac:dyDescent="0.25">
      <c r="A75" s="45">
        <v>73</v>
      </c>
      <c r="B75" s="289"/>
      <c r="C75" s="35" t="s">
        <v>1169</v>
      </c>
      <c r="D75" s="36" t="s">
        <v>1680</v>
      </c>
    </row>
    <row r="76" spans="1:4" x14ac:dyDescent="0.25">
      <c r="A76" s="45">
        <v>74</v>
      </c>
      <c r="B76" s="289"/>
      <c r="C76" s="35" t="s">
        <v>1215</v>
      </c>
      <c r="D76" s="36" t="s">
        <v>1680</v>
      </c>
    </row>
    <row r="77" spans="1:4" x14ac:dyDescent="0.25">
      <c r="A77" s="45">
        <v>75</v>
      </c>
      <c r="B77" s="289"/>
      <c r="C77" s="35" t="s">
        <v>1216</v>
      </c>
      <c r="D77" s="36" t="s">
        <v>1680</v>
      </c>
    </row>
    <row r="78" spans="1:4" x14ac:dyDescent="0.25">
      <c r="A78" s="45">
        <v>76</v>
      </c>
      <c r="B78" s="289"/>
      <c r="C78" s="35" t="s">
        <v>1002</v>
      </c>
      <c r="D78" s="36" t="s">
        <v>1680</v>
      </c>
    </row>
    <row r="79" spans="1:4" x14ac:dyDescent="0.25">
      <c r="A79" s="45">
        <v>77</v>
      </c>
      <c r="B79" s="289"/>
      <c r="C79" s="35" t="s">
        <v>1395</v>
      </c>
      <c r="D79" s="36" t="s">
        <v>1681</v>
      </c>
    </row>
    <row r="80" spans="1:4" x14ac:dyDescent="0.25">
      <c r="A80" s="45">
        <v>78</v>
      </c>
      <c r="B80" s="289"/>
      <c r="C80" s="35" t="s">
        <v>1172</v>
      </c>
      <c r="D80" s="36" t="s">
        <v>1681</v>
      </c>
    </row>
    <row r="81" spans="1:4" x14ac:dyDescent="0.25">
      <c r="A81" s="45">
        <v>79</v>
      </c>
      <c r="B81" s="289"/>
      <c r="C81" s="35" t="s">
        <v>1266</v>
      </c>
      <c r="D81" s="36" t="s">
        <v>1681</v>
      </c>
    </row>
    <row r="82" spans="1:4" x14ac:dyDescent="0.25">
      <c r="A82" s="45">
        <v>80</v>
      </c>
      <c r="B82" s="289"/>
      <c r="C82" s="35" t="s">
        <v>1320</v>
      </c>
      <c r="D82" s="36" t="s">
        <v>1681</v>
      </c>
    </row>
    <row r="83" spans="1:4" x14ac:dyDescent="0.25">
      <c r="A83" s="45">
        <v>81</v>
      </c>
      <c r="B83" s="289"/>
      <c r="C83" s="35" t="s">
        <v>1354</v>
      </c>
      <c r="D83" s="36" t="s">
        <v>1681</v>
      </c>
    </row>
    <row r="84" spans="1:4" ht="15.75" thickBot="1" x14ac:dyDescent="0.3">
      <c r="A84" s="45">
        <v>82</v>
      </c>
      <c r="B84" s="290"/>
      <c r="C84" s="37" t="s">
        <v>1412</v>
      </c>
      <c r="D84" s="38" t="s">
        <v>1681</v>
      </c>
    </row>
    <row r="85" spans="1:4" x14ac:dyDescent="0.25">
      <c r="A85" s="45">
        <v>83</v>
      </c>
      <c r="B85" s="288" t="s">
        <v>1713</v>
      </c>
      <c r="C85" s="33" t="s">
        <v>1370</v>
      </c>
      <c r="D85" s="34" t="s">
        <v>1682</v>
      </c>
    </row>
    <row r="86" spans="1:4" x14ac:dyDescent="0.25">
      <c r="A86" s="45">
        <v>84</v>
      </c>
      <c r="B86" s="289"/>
      <c r="C86" s="35" t="s">
        <v>1187</v>
      </c>
      <c r="D86" s="36" t="s">
        <v>1682</v>
      </c>
    </row>
    <row r="87" spans="1:4" x14ac:dyDescent="0.25">
      <c r="A87" s="45">
        <v>85</v>
      </c>
      <c r="B87" s="289"/>
      <c r="C87" s="35" t="s">
        <v>1190</v>
      </c>
      <c r="D87" s="36" t="s">
        <v>1682</v>
      </c>
    </row>
    <row r="88" spans="1:4" x14ac:dyDescent="0.25">
      <c r="A88" s="45">
        <v>86</v>
      </c>
      <c r="B88" s="289"/>
      <c r="C88" s="35" t="s">
        <v>1195</v>
      </c>
      <c r="D88" s="36" t="s">
        <v>1682</v>
      </c>
    </row>
    <row r="89" spans="1:4" x14ac:dyDescent="0.25">
      <c r="A89" s="45">
        <v>87</v>
      </c>
      <c r="B89" s="289"/>
      <c r="C89" s="35" t="s">
        <v>1211</v>
      </c>
      <c r="D89" s="36" t="s">
        <v>1682</v>
      </c>
    </row>
    <row r="90" spans="1:4" x14ac:dyDescent="0.25">
      <c r="A90" s="45">
        <v>88</v>
      </c>
      <c r="B90" s="289"/>
      <c r="C90" s="35" t="s">
        <v>1230</v>
      </c>
      <c r="D90" s="36" t="s">
        <v>1682</v>
      </c>
    </row>
    <row r="91" spans="1:4" x14ac:dyDescent="0.25">
      <c r="A91" s="45">
        <v>89</v>
      </c>
      <c r="B91" s="289"/>
      <c r="C91" s="35" t="s">
        <v>1259</v>
      </c>
      <c r="D91" s="36" t="s">
        <v>1682</v>
      </c>
    </row>
    <row r="92" spans="1:4" x14ac:dyDescent="0.25">
      <c r="A92" s="45">
        <v>90</v>
      </c>
      <c r="B92" s="289"/>
      <c r="C92" s="35" t="s">
        <v>1283</v>
      </c>
      <c r="D92" s="36" t="s">
        <v>1682</v>
      </c>
    </row>
    <row r="93" spans="1:4" x14ac:dyDescent="0.25">
      <c r="A93" s="45">
        <v>91</v>
      </c>
      <c r="B93" s="289"/>
      <c r="C93" s="35" t="s">
        <v>1287</v>
      </c>
      <c r="D93" s="36" t="s">
        <v>1682</v>
      </c>
    </row>
    <row r="94" spans="1:4" x14ac:dyDescent="0.25">
      <c r="A94" s="45">
        <v>92</v>
      </c>
      <c r="B94" s="289"/>
      <c r="C94" s="35" t="s">
        <v>1298</v>
      </c>
      <c r="D94" s="36" t="s">
        <v>1682</v>
      </c>
    </row>
    <row r="95" spans="1:4" x14ac:dyDescent="0.25">
      <c r="A95" s="45">
        <v>93</v>
      </c>
      <c r="B95" s="289"/>
      <c r="C95" s="35" t="s">
        <v>1309</v>
      </c>
      <c r="D95" s="36" t="s">
        <v>1682</v>
      </c>
    </row>
    <row r="96" spans="1:4" x14ac:dyDescent="0.25">
      <c r="A96" s="45">
        <v>94</v>
      </c>
      <c r="B96" s="289"/>
      <c r="C96" s="35" t="s">
        <v>273</v>
      </c>
      <c r="D96" s="36" t="s">
        <v>1682</v>
      </c>
    </row>
    <row r="97" spans="1:4" x14ac:dyDescent="0.25">
      <c r="A97" s="45">
        <v>95</v>
      </c>
      <c r="B97" s="289"/>
      <c r="C97" s="35" t="s">
        <v>1333</v>
      </c>
      <c r="D97" s="36" t="s">
        <v>1682</v>
      </c>
    </row>
    <row r="98" spans="1:4" x14ac:dyDescent="0.25">
      <c r="A98" s="45">
        <v>96</v>
      </c>
      <c r="B98" s="289"/>
      <c r="C98" s="35" t="s">
        <v>1366</v>
      </c>
      <c r="D98" s="36" t="s">
        <v>1682</v>
      </c>
    </row>
    <row r="99" spans="1:4" x14ac:dyDescent="0.25">
      <c r="A99" s="45">
        <v>97</v>
      </c>
      <c r="B99" s="289"/>
      <c r="C99" s="35" t="s">
        <v>1376</v>
      </c>
      <c r="D99" s="36" t="s">
        <v>1682</v>
      </c>
    </row>
    <row r="100" spans="1:4" x14ac:dyDescent="0.25">
      <c r="A100" s="45">
        <v>98</v>
      </c>
      <c r="B100" s="289"/>
      <c r="C100" s="35" t="s">
        <v>1377</v>
      </c>
      <c r="D100" s="36" t="s">
        <v>1682</v>
      </c>
    </row>
    <row r="101" spans="1:4" x14ac:dyDescent="0.25">
      <c r="A101" s="45">
        <v>99</v>
      </c>
      <c r="B101" s="289"/>
      <c r="C101" s="35" t="s">
        <v>1410</v>
      </c>
      <c r="D101" s="36" t="s">
        <v>1682</v>
      </c>
    </row>
    <row r="102" spans="1:4" x14ac:dyDescent="0.25">
      <c r="A102" s="45">
        <v>100</v>
      </c>
      <c r="B102" s="289"/>
      <c r="C102" s="35" t="s">
        <v>1334</v>
      </c>
      <c r="D102" s="36" t="s">
        <v>1683</v>
      </c>
    </row>
    <row r="103" spans="1:4" x14ac:dyDescent="0.25">
      <c r="A103" s="45">
        <v>101</v>
      </c>
      <c r="B103" s="289"/>
      <c r="C103" s="35" t="s">
        <v>1245</v>
      </c>
      <c r="D103" s="36" t="s">
        <v>1683</v>
      </c>
    </row>
    <row r="104" spans="1:4" x14ac:dyDescent="0.25">
      <c r="A104" s="45">
        <v>102</v>
      </c>
      <c r="B104" s="289"/>
      <c r="C104" s="35" t="s">
        <v>1265</v>
      </c>
      <c r="D104" s="36" t="s">
        <v>1683</v>
      </c>
    </row>
    <row r="105" spans="1:4" x14ac:dyDescent="0.25">
      <c r="A105" s="45">
        <v>103</v>
      </c>
      <c r="B105" s="289"/>
      <c r="C105" s="35" t="s">
        <v>1288</v>
      </c>
      <c r="D105" s="36" t="s">
        <v>1683</v>
      </c>
    </row>
    <row r="106" spans="1:4" x14ac:dyDescent="0.25">
      <c r="A106" s="45">
        <v>104</v>
      </c>
      <c r="B106" s="289"/>
      <c r="C106" s="35" t="s">
        <v>1302</v>
      </c>
      <c r="D106" s="36" t="s">
        <v>1683</v>
      </c>
    </row>
    <row r="107" spans="1:4" x14ac:dyDescent="0.25">
      <c r="A107" s="45">
        <v>105</v>
      </c>
      <c r="B107" s="289"/>
      <c r="C107" s="35" t="s">
        <v>1322</v>
      </c>
      <c r="D107" s="36" t="s">
        <v>1683</v>
      </c>
    </row>
    <row r="108" spans="1:4" x14ac:dyDescent="0.25">
      <c r="A108" s="45">
        <v>106</v>
      </c>
      <c r="B108" s="289"/>
      <c r="C108" s="35" t="s">
        <v>1396</v>
      </c>
      <c r="D108" s="36" t="s">
        <v>1005</v>
      </c>
    </row>
    <row r="109" spans="1:4" x14ac:dyDescent="0.25">
      <c r="A109" s="45">
        <v>107</v>
      </c>
      <c r="B109" s="289"/>
      <c r="C109" s="35" t="s">
        <v>1178</v>
      </c>
      <c r="D109" s="36" t="s">
        <v>1005</v>
      </c>
    </row>
    <row r="110" spans="1:4" x14ac:dyDescent="0.25">
      <c r="A110" s="45">
        <v>108</v>
      </c>
      <c r="B110" s="289"/>
      <c r="C110" s="35" t="s">
        <v>1182</v>
      </c>
      <c r="D110" s="36" t="s">
        <v>1005</v>
      </c>
    </row>
    <row r="111" spans="1:4" x14ac:dyDescent="0.25">
      <c r="A111" s="45">
        <v>109</v>
      </c>
      <c r="B111" s="289"/>
      <c r="C111" s="35" t="s">
        <v>1271</v>
      </c>
      <c r="D111" s="36" t="s">
        <v>1005</v>
      </c>
    </row>
    <row r="112" spans="1:4" x14ac:dyDescent="0.25">
      <c r="A112" s="45">
        <v>110</v>
      </c>
      <c r="B112" s="289"/>
      <c r="C112" s="35" t="s">
        <v>1301</v>
      </c>
      <c r="D112" s="36" t="s">
        <v>1005</v>
      </c>
    </row>
    <row r="113" spans="1:4" x14ac:dyDescent="0.25">
      <c r="A113" s="45">
        <v>111</v>
      </c>
      <c r="B113" s="289"/>
      <c r="C113" s="35" t="s">
        <v>133</v>
      </c>
      <c r="D113" s="36" t="s">
        <v>1005</v>
      </c>
    </row>
    <row r="114" spans="1:4" x14ac:dyDescent="0.25">
      <c r="A114" s="45">
        <v>112</v>
      </c>
      <c r="B114" s="289"/>
      <c r="C114" s="35" t="s">
        <v>236</v>
      </c>
      <c r="D114" s="36" t="s">
        <v>1005</v>
      </c>
    </row>
    <row r="115" spans="1:4" x14ac:dyDescent="0.25">
      <c r="A115" s="45">
        <v>113</v>
      </c>
      <c r="B115" s="289"/>
      <c r="C115" s="35" t="s">
        <v>1337</v>
      </c>
      <c r="D115" s="36" t="s">
        <v>1005</v>
      </c>
    </row>
    <row r="116" spans="1:4" x14ac:dyDescent="0.25">
      <c r="A116" s="45">
        <v>114</v>
      </c>
      <c r="B116" s="289"/>
      <c r="C116" s="35" t="s">
        <v>1349</v>
      </c>
      <c r="D116" s="36" t="s">
        <v>1005</v>
      </c>
    </row>
    <row r="117" spans="1:4" ht="15.75" thickBot="1" x14ac:dyDescent="0.3">
      <c r="A117" s="45">
        <v>115</v>
      </c>
      <c r="B117" s="290"/>
      <c r="C117" s="35" t="s">
        <v>1006</v>
      </c>
      <c r="D117" s="36" t="s">
        <v>1005</v>
      </c>
    </row>
    <row r="118" spans="1:4" x14ac:dyDescent="0.25">
      <c r="A118" s="45">
        <v>116</v>
      </c>
      <c r="B118" s="288" t="s">
        <v>1008</v>
      </c>
      <c r="C118" s="33" t="s">
        <v>1010</v>
      </c>
      <c r="D118" s="34" t="s">
        <v>1010</v>
      </c>
    </row>
    <row r="119" spans="1:4" x14ac:dyDescent="0.25">
      <c r="A119" s="45">
        <v>117</v>
      </c>
      <c r="B119" s="289"/>
      <c r="C119" s="35" t="s">
        <v>1011</v>
      </c>
      <c r="D119" s="36" t="s">
        <v>1010</v>
      </c>
    </row>
    <row r="120" spans="1:4" x14ac:dyDescent="0.25">
      <c r="A120" s="45">
        <v>118</v>
      </c>
      <c r="B120" s="289"/>
      <c r="C120" s="35" t="s">
        <v>1207</v>
      </c>
      <c r="D120" s="36" t="s">
        <v>1010</v>
      </c>
    </row>
    <row r="121" spans="1:4" x14ac:dyDescent="0.25">
      <c r="A121" s="45">
        <v>119</v>
      </c>
      <c r="B121" s="289"/>
      <c r="C121" s="35" t="s">
        <v>1217</v>
      </c>
      <c r="D121" s="36" t="s">
        <v>1010</v>
      </c>
    </row>
    <row r="122" spans="1:4" x14ac:dyDescent="0.25">
      <c r="A122" s="45">
        <v>120</v>
      </c>
      <c r="B122" s="289"/>
      <c r="C122" s="35" t="s">
        <v>1292</v>
      </c>
      <c r="D122" s="36" t="s">
        <v>1010</v>
      </c>
    </row>
    <row r="123" spans="1:4" x14ac:dyDescent="0.25">
      <c r="A123" s="45">
        <v>121</v>
      </c>
      <c r="B123" s="289"/>
      <c r="C123" s="35" t="s">
        <v>1324</v>
      </c>
      <c r="D123" s="36" t="s">
        <v>1010</v>
      </c>
    </row>
    <row r="124" spans="1:4" x14ac:dyDescent="0.25">
      <c r="A124" s="45">
        <v>122</v>
      </c>
      <c r="B124" s="289"/>
      <c r="C124" s="35" t="s">
        <v>1327</v>
      </c>
      <c r="D124" s="36" t="s">
        <v>1010</v>
      </c>
    </row>
    <row r="125" spans="1:4" x14ac:dyDescent="0.25">
      <c r="A125" s="45">
        <v>123</v>
      </c>
      <c r="B125" s="289"/>
      <c r="C125" s="35" t="s">
        <v>1381</v>
      </c>
      <c r="D125" s="36" t="s">
        <v>1010</v>
      </c>
    </row>
    <row r="126" spans="1:4" x14ac:dyDescent="0.25">
      <c r="A126" s="45">
        <v>124</v>
      </c>
      <c r="B126" s="289"/>
      <c r="C126" s="35" t="s">
        <v>1392</v>
      </c>
      <c r="D126" s="36" t="s">
        <v>1010</v>
      </c>
    </row>
    <row r="127" spans="1:4" x14ac:dyDescent="0.25">
      <c r="A127" s="45">
        <v>125</v>
      </c>
      <c r="B127" s="289"/>
      <c r="C127" s="35" t="s">
        <v>1407</v>
      </c>
      <c r="D127" s="36" t="s">
        <v>1010</v>
      </c>
    </row>
    <row r="128" spans="1:4" x14ac:dyDescent="0.25">
      <c r="A128" s="45">
        <v>126</v>
      </c>
      <c r="B128" s="289"/>
      <c r="C128" s="35" t="s">
        <v>1007</v>
      </c>
      <c r="D128" s="36" t="s">
        <v>1007</v>
      </c>
    </row>
    <row r="129" spans="1:4" x14ac:dyDescent="0.25">
      <c r="A129" s="45">
        <v>127</v>
      </c>
      <c r="B129" s="289"/>
      <c r="C129" s="35" t="s">
        <v>1176</v>
      </c>
      <c r="D129" s="36" t="s">
        <v>1007</v>
      </c>
    </row>
    <row r="130" spans="1:4" x14ac:dyDescent="0.25">
      <c r="A130" s="45">
        <v>128</v>
      </c>
      <c r="B130" s="289"/>
      <c r="C130" s="35" t="s">
        <v>1325</v>
      </c>
      <c r="D130" s="36" t="s">
        <v>1007</v>
      </c>
    </row>
    <row r="131" spans="1:4" x14ac:dyDescent="0.25">
      <c r="A131" s="45">
        <v>129</v>
      </c>
      <c r="B131" s="289"/>
      <c r="C131" s="35" t="s">
        <v>1208</v>
      </c>
      <c r="D131" s="36" t="s">
        <v>1684</v>
      </c>
    </row>
    <row r="132" spans="1:4" x14ac:dyDescent="0.25">
      <c r="A132" s="45">
        <v>130</v>
      </c>
      <c r="B132" s="289"/>
      <c r="C132" s="35" t="s">
        <v>1234</v>
      </c>
      <c r="D132" s="36" t="s">
        <v>1684</v>
      </c>
    </row>
    <row r="133" spans="1:4" x14ac:dyDescent="0.25">
      <c r="A133" s="45">
        <v>131</v>
      </c>
      <c r="B133" s="289"/>
      <c r="C133" s="35" t="s">
        <v>1263</v>
      </c>
      <c r="D133" s="36" t="s">
        <v>1684</v>
      </c>
    </row>
    <row r="134" spans="1:4" x14ac:dyDescent="0.25">
      <c r="A134" s="45">
        <v>132</v>
      </c>
      <c r="B134" s="289"/>
      <c r="C134" s="35" t="s">
        <v>1296</v>
      </c>
      <c r="D134" s="36" t="s">
        <v>1684</v>
      </c>
    </row>
    <row r="135" spans="1:4" x14ac:dyDescent="0.25">
      <c r="A135" s="45">
        <v>133</v>
      </c>
      <c r="B135" s="289"/>
      <c r="C135" s="35" t="s">
        <v>1372</v>
      </c>
      <c r="D135" s="36" t="s">
        <v>1684</v>
      </c>
    </row>
    <row r="136" spans="1:4" x14ac:dyDescent="0.25">
      <c r="A136" s="45">
        <v>134</v>
      </c>
      <c r="B136" s="289"/>
      <c r="C136" s="35" t="s">
        <v>1386</v>
      </c>
      <c r="D136" s="36" t="s">
        <v>1684</v>
      </c>
    </row>
    <row r="137" spans="1:4" x14ac:dyDescent="0.25">
      <c r="A137" s="45">
        <v>135</v>
      </c>
      <c r="B137" s="289"/>
      <c r="C137" s="35" t="s">
        <v>1388</v>
      </c>
      <c r="D137" s="36" t="s">
        <v>1684</v>
      </c>
    </row>
    <row r="138" spans="1:4" x14ac:dyDescent="0.25">
      <c r="A138" s="45">
        <v>136</v>
      </c>
      <c r="B138" s="289"/>
      <c r="C138" s="35" t="s">
        <v>1419</v>
      </c>
      <c r="D138" s="36" t="s">
        <v>1684</v>
      </c>
    </row>
    <row r="139" spans="1:4" x14ac:dyDescent="0.25">
      <c r="A139" s="45">
        <v>137</v>
      </c>
      <c r="B139" s="289"/>
      <c r="C139" s="35" t="s">
        <v>1432</v>
      </c>
      <c r="D139" s="36" t="s">
        <v>1684</v>
      </c>
    </row>
    <row r="140" spans="1:4" x14ac:dyDescent="0.25">
      <c r="A140" s="45">
        <v>138</v>
      </c>
      <c r="B140" s="289"/>
      <c r="C140" s="35" t="s">
        <v>1009</v>
      </c>
      <c r="D140" s="36" t="s">
        <v>1685</v>
      </c>
    </row>
    <row r="141" spans="1:4" x14ac:dyDescent="0.25">
      <c r="A141" s="45">
        <v>139</v>
      </c>
      <c r="B141" s="289"/>
      <c r="C141" s="35" t="s">
        <v>1191</v>
      </c>
      <c r="D141" s="36" t="s">
        <v>1685</v>
      </c>
    </row>
    <row r="142" spans="1:4" x14ac:dyDescent="0.25">
      <c r="A142" s="45">
        <v>140</v>
      </c>
      <c r="B142" s="289"/>
      <c r="C142" s="35" t="s">
        <v>1273</v>
      </c>
      <c r="D142" s="36" t="s">
        <v>1685</v>
      </c>
    </row>
    <row r="143" spans="1:4" x14ac:dyDescent="0.25">
      <c r="A143" s="45">
        <v>141</v>
      </c>
      <c r="B143" s="289"/>
      <c r="C143" s="35" t="s">
        <v>1323</v>
      </c>
      <c r="D143" s="36" t="s">
        <v>1685</v>
      </c>
    </row>
    <row r="144" spans="1:4" x14ac:dyDescent="0.25">
      <c r="A144" s="45">
        <v>142</v>
      </c>
      <c r="B144" s="289"/>
      <c r="C144" s="35" t="s">
        <v>1378</v>
      </c>
      <c r="D144" s="36" t="s">
        <v>1685</v>
      </c>
    </row>
    <row r="145" spans="1:4" x14ac:dyDescent="0.25">
      <c r="A145" s="45">
        <v>143</v>
      </c>
      <c r="B145" s="289"/>
      <c r="C145" s="35" t="s">
        <v>1399</v>
      </c>
      <c r="D145" s="36" t="s">
        <v>1685</v>
      </c>
    </row>
    <row r="146" spans="1:4" x14ac:dyDescent="0.25">
      <c r="A146" s="45">
        <v>144</v>
      </c>
      <c r="B146" s="289"/>
      <c r="C146" s="35" t="s">
        <v>1436</v>
      </c>
      <c r="D146" s="36" t="s">
        <v>1685</v>
      </c>
    </row>
    <row r="147" spans="1:4" ht="15.75" thickBot="1" x14ac:dyDescent="0.3">
      <c r="A147" s="45">
        <v>145</v>
      </c>
      <c r="B147" s="290"/>
      <c r="C147" s="37" t="s">
        <v>1441</v>
      </c>
      <c r="D147" s="38" t="s">
        <v>1685</v>
      </c>
    </row>
    <row r="148" spans="1:4" x14ac:dyDescent="0.25">
      <c r="A148" s="45">
        <v>146</v>
      </c>
      <c r="B148" s="288" t="s">
        <v>1714</v>
      </c>
      <c r="C148" s="33" t="s">
        <v>1012</v>
      </c>
      <c r="D148" s="34" t="s">
        <v>1686</v>
      </c>
    </row>
    <row r="149" spans="1:4" x14ac:dyDescent="0.25">
      <c r="A149" s="45">
        <v>147</v>
      </c>
      <c r="B149" s="289"/>
      <c r="C149" s="35" t="s">
        <v>1013</v>
      </c>
      <c r="D149" s="36" t="s">
        <v>1686</v>
      </c>
    </row>
    <row r="150" spans="1:4" x14ac:dyDescent="0.25">
      <c r="A150" s="45">
        <v>148</v>
      </c>
      <c r="B150" s="289"/>
      <c r="C150" s="35" t="s">
        <v>1179</v>
      </c>
      <c r="D150" s="36" t="s">
        <v>1686</v>
      </c>
    </row>
    <row r="151" spans="1:4" x14ac:dyDescent="0.25">
      <c r="A151" s="45">
        <v>149</v>
      </c>
      <c r="B151" s="289"/>
      <c r="C151" s="35" t="s">
        <v>1220</v>
      </c>
      <c r="D151" s="36" t="s">
        <v>1686</v>
      </c>
    </row>
    <row r="152" spans="1:4" x14ac:dyDescent="0.25">
      <c r="A152" s="45">
        <v>150</v>
      </c>
      <c r="B152" s="289"/>
      <c r="C152" s="35" t="s">
        <v>1236</v>
      </c>
      <c r="D152" s="36" t="s">
        <v>1686</v>
      </c>
    </row>
    <row r="153" spans="1:4" x14ac:dyDescent="0.25">
      <c r="A153" s="45">
        <v>151</v>
      </c>
      <c r="B153" s="289"/>
      <c r="C153" s="35" t="s">
        <v>1281</v>
      </c>
      <c r="D153" s="36" t="s">
        <v>1686</v>
      </c>
    </row>
    <row r="154" spans="1:4" x14ac:dyDescent="0.25">
      <c r="A154" s="45">
        <v>152</v>
      </c>
      <c r="B154" s="289"/>
      <c r="C154" s="35" t="s">
        <v>1328</v>
      </c>
      <c r="D154" s="36" t="s">
        <v>1686</v>
      </c>
    </row>
    <row r="155" spans="1:4" x14ac:dyDescent="0.25">
      <c r="A155" s="45">
        <v>153</v>
      </c>
      <c r="B155" s="289"/>
      <c r="C155" s="35" t="s">
        <v>1687</v>
      </c>
      <c r="D155" s="36" t="s">
        <v>1686</v>
      </c>
    </row>
    <row r="156" spans="1:4" x14ac:dyDescent="0.25">
      <c r="A156" s="45">
        <v>154</v>
      </c>
      <c r="B156" s="289"/>
      <c r="C156" s="35" t="s">
        <v>1018</v>
      </c>
      <c r="D156" s="36" t="s">
        <v>1686</v>
      </c>
    </row>
    <row r="157" spans="1:4" x14ac:dyDescent="0.25">
      <c r="A157" s="45">
        <v>155</v>
      </c>
      <c r="B157" s="289"/>
      <c r="C157" s="35" t="s">
        <v>1416</v>
      </c>
      <c r="D157" s="36" t="s">
        <v>1686</v>
      </c>
    </row>
    <row r="158" spans="1:4" x14ac:dyDescent="0.25">
      <c r="A158" s="45">
        <v>156</v>
      </c>
      <c r="B158" s="289"/>
      <c r="C158" s="35" t="s">
        <v>1426</v>
      </c>
      <c r="D158" s="36" t="s">
        <v>1686</v>
      </c>
    </row>
    <row r="159" spans="1:4" x14ac:dyDescent="0.25">
      <c r="A159" s="45">
        <v>157</v>
      </c>
      <c r="B159" s="289"/>
      <c r="C159" s="35" t="s">
        <v>1235</v>
      </c>
      <c r="D159" s="36" t="s">
        <v>1686</v>
      </c>
    </row>
    <row r="160" spans="1:4" x14ac:dyDescent="0.25">
      <c r="A160" s="45">
        <v>158</v>
      </c>
      <c r="B160" s="289"/>
      <c r="C160" s="35" t="s">
        <v>1262</v>
      </c>
      <c r="D160" s="36" t="s">
        <v>1014</v>
      </c>
    </row>
    <row r="161" spans="1:4" x14ac:dyDescent="0.25">
      <c r="A161" s="45">
        <v>159</v>
      </c>
      <c r="B161" s="289"/>
      <c r="C161" s="35" t="s">
        <v>1014</v>
      </c>
      <c r="D161" s="36" t="s">
        <v>1014</v>
      </c>
    </row>
    <row r="162" spans="1:4" x14ac:dyDescent="0.25">
      <c r="A162" s="45">
        <v>160</v>
      </c>
      <c r="B162" s="289"/>
      <c r="C162" s="35" t="s">
        <v>1015</v>
      </c>
      <c r="D162" s="36" t="s">
        <v>1014</v>
      </c>
    </row>
    <row r="163" spans="1:4" x14ac:dyDescent="0.25">
      <c r="A163" s="45">
        <v>161</v>
      </c>
      <c r="B163" s="289"/>
      <c r="C163" s="35" t="s">
        <v>1199</v>
      </c>
      <c r="D163" s="36" t="s">
        <v>1014</v>
      </c>
    </row>
    <row r="164" spans="1:4" x14ac:dyDescent="0.25">
      <c r="A164" s="45">
        <v>162</v>
      </c>
      <c r="B164" s="289"/>
      <c r="C164" s="35" t="s">
        <v>1205</v>
      </c>
      <c r="D164" s="36" t="s">
        <v>1014</v>
      </c>
    </row>
    <row r="165" spans="1:4" x14ac:dyDescent="0.25">
      <c r="A165" s="45">
        <v>163</v>
      </c>
      <c r="B165" s="289"/>
      <c r="C165" s="35" t="s">
        <v>1275</v>
      </c>
      <c r="D165" s="36" t="s">
        <v>1014</v>
      </c>
    </row>
    <row r="166" spans="1:4" x14ac:dyDescent="0.25">
      <c r="A166" s="45">
        <v>164</v>
      </c>
      <c r="B166" s="289"/>
      <c r="C166" s="35" t="s">
        <v>1423</v>
      </c>
      <c r="D166" s="36" t="s">
        <v>1014</v>
      </c>
    </row>
    <row r="167" spans="1:4" x14ac:dyDescent="0.25">
      <c r="A167" s="45">
        <v>165</v>
      </c>
      <c r="B167" s="289"/>
      <c r="C167" s="35" t="s">
        <v>1017</v>
      </c>
      <c r="D167" s="36" t="s">
        <v>1688</v>
      </c>
    </row>
    <row r="168" spans="1:4" x14ac:dyDescent="0.25">
      <c r="A168" s="45">
        <v>166</v>
      </c>
      <c r="B168" s="289"/>
      <c r="C168" s="35" t="s">
        <v>1156</v>
      </c>
      <c r="D168" s="36" t="s">
        <v>1688</v>
      </c>
    </row>
    <row r="169" spans="1:4" x14ac:dyDescent="0.25">
      <c r="A169" s="45">
        <v>167</v>
      </c>
      <c r="B169" s="289"/>
      <c r="C169" s="35" t="s">
        <v>1160</v>
      </c>
      <c r="D169" s="36" t="s">
        <v>1688</v>
      </c>
    </row>
    <row r="170" spans="1:4" x14ac:dyDescent="0.25">
      <c r="A170" s="45">
        <v>168</v>
      </c>
      <c r="B170" s="289"/>
      <c r="C170" s="35" t="s">
        <v>1256</v>
      </c>
      <c r="D170" s="36" t="s">
        <v>1688</v>
      </c>
    </row>
    <row r="171" spans="1:4" x14ac:dyDescent="0.25">
      <c r="A171" s="45">
        <v>169</v>
      </c>
      <c r="B171" s="289"/>
      <c r="C171" s="35" t="s">
        <v>1299</v>
      </c>
      <c r="D171" s="36" t="s">
        <v>1688</v>
      </c>
    </row>
    <row r="172" spans="1:4" x14ac:dyDescent="0.25">
      <c r="A172" s="45">
        <v>170</v>
      </c>
      <c r="B172" s="289"/>
      <c r="C172" s="35" t="s">
        <v>1300</v>
      </c>
      <c r="D172" s="36" t="s">
        <v>1688</v>
      </c>
    </row>
    <row r="173" spans="1:4" x14ac:dyDescent="0.25">
      <c r="A173" s="45">
        <v>171</v>
      </c>
      <c r="B173" s="289"/>
      <c r="C173" s="35" t="s">
        <v>1303</v>
      </c>
      <c r="D173" s="36" t="s">
        <v>1688</v>
      </c>
    </row>
    <row r="174" spans="1:4" x14ac:dyDescent="0.25">
      <c r="A174" s="45">
        <v>172</v>
      </c>
      <c r="B174" s="289"/>
      <c r="C174" s="35" t="s">
        <v>1359</v>
      </c>
      <c r="D174" s="36" t="s">
        <v>1688</v>
      </c>
    </row>
    <row r="175" spans="1:4" x14ac:dyDescent="0.25">
      <c r="A175" s="45">
        <v>173</v>
      </c>
      <c r="B175" s="289"/>
      <c r="C175" s="35" t="s">
        <v>1361</v>
      </c>
      <c r="D175" s="36" t="s">
        <v>1688</v>
      </c>
    </row>
    <row r="176" spans="1:4" x14ac:dyDescent="0.25">
      <c r="A176" s="45">
        <v>174</v>
      </c>
      <c r="B176" s="289"/>
      <c r="C176" s="35" t="s">
        <v>1409</v>
      </c>
      <c r="D176" s="36" t="s">
        <v>1688</v>
      </c>
    </row>
    <row r="177" spans="1:4" x14ac:dyDescent="0.25">
      <c r="A177" s="45">
        <v>175</v>
      </c>
      <c r="B177" s="289"/>
      <c r="C177" s="35" t="s">
        <v>1411</v>
      </c>
      <c r="D177" s="36" t="s">
        <v>1688</v>
      </c>
    </row>
    <row r="178" spans="1:4" x14ac:dyDescent="0.25">
      <c r="A178" s="45">
        <v>176</v>
      </c>
      <c r="B178" s="289"/>
      <c r="C178" s="35" t="s">
        <v>1431</v>
      </c>
      <c r="D178" s="36" t="s">
        <v>1688</v>
      </c>
    </row>
    <row r="179" spans="1:4" x14ac:dyDescent="0.25">
      <c r="A179" s="45">
        <v>177</v>
      </c>
      <c r="B179" s="289"/>
      <c r="C179" s="35" t="s">
        <v>1442</v>
      </c>
      <c r="D179" s="36" t="s">
        <v>1688</v>
      </c>
    </row>
    <row r="180" spans="1:4" ht="15.75" thickBot="1" x14ac:dyDescent="0.3">
      <c r="A180" s="45">
        <v>178</v>
      </c>
      <c r="B180" s="294"/>
      <c r="C180" s="37" t="s">
        <v>1149</v>
      </c>
      <c r="D180" s="38" t="s">
        <v>1688</v>
      </c>
    </row>
    <row r="181" spans="1:4" x14ac:dyDescent="0.25">
      <c r="A181" s="45">
        <v>179</v>
      </c>
      <c r="B181" s="295" t="s">
        <v>1715</v>
      </c>
      <c r="C181" s="33" t="s">
        <v>1019</v>
      </c>
      <c r="D181" s="34" t="s">
        <v>1689</v>
      </c>
    </row>
    <row r="182" spans="1:4" x14ac:dyDescent="0.25">
      <c r="A182" s="45">
        <v>180</v>
      </c>
      <c r="B182" s="289"/>
      <c r="C182" s="35" t="s">
        <v>1157</v>
      </c>
      <c r="D182" s="36" t="s">
        <v>1689</v>
      </c>
    </row>
    <row r="183" spans="1:4" x14ac:dyDescent="0.25">
      <c r="A183" s="45">
        <v>181</v>
      </c>
      <c r="B183" s="289"/>
      <c r="C183" s="35" t="s">
        <v>1185</v>
      </c>
      <c r="D183" s="36" t="s">
        <v>1690</v>
      </c>
    </row>
    <row r="184" spans="1:4" x14ac:dyDescent="0.25">
      <c r="A184" s="45">
        <v>182</v>
      </c>
      <c r="B184" s="289"/>
      <c r="C184" s="35" t="s">
        <v>1188</v>
      </c>
      <c r="D184" s="36" t="s">
        <v>1690</v>
      </c>
    </row>
    <row r="185" spans="1:4" x14ac:dyDescent="0.25">
      <c r="A185" s="45">
        <v>183</v>
      </c>
      <c r="B185" s="289"/>
      <c r="C185" s="35" t="s">
        <v>1189</v>
      </c>
      <c r="D185" s="36" t="s">
        <v>1691</v>
      </c>
    </row>
    <row r="186" spans="1:4" x14ac:dyDescent="0.25">
      <c r="A186" s="45">
        <v>184</v>
      </c>
      <c r="B186" s="289"/>
      <c r="C186" s="35" t="s">
        <v>1181</v>
      </c>
      <c r="D186" s="36" t="s">
        <v>1689</v>
      </c>
    </row>
    <row r="187" spans="1:4" x14ac:dyDescent="0.25">
      <c r="A187" s="45">
        <v>185</v>
      </c>
      <c r="B187" s="289"/>
      <c r="C187" s="35" t="s">
        <v>1213</v>
      </c>
      <c r="D187" s="36" t="s">
        <v>1689</v>
      </c>
    </row>
    <row r="188" spans="1:4" x14ac:dyDescent="0.25">
      <c r="A188" s="45">
        <v>186</v>
      </c>
      <c r="B188" s="289"/>
      <c r="C188" s="35" t="s">
        <v>1304</v>
      </c>
      <c r="D188" s="36" t="s">
        <v>1690</v>
      </c>
    </row>
    <row r="189" spans="1:4" x14ac:dyDescent="0.25">
      <c r="A189" s="45">
        <v>187</v>
      </c>
      <c r="B189" s="289"/>
      <c r="C189" s="35" t="s">
        <v>1306</v>
      </c>
      <c r="D189" s="36" t="s">
        <v>1691</v>
      </c>
    </row>
    <row r="190" spans="1:4" x14ac:dyDescent="0.25">
      <c r="A190" s="45">
        <v>188</v>
      </c>
      <c r="B190" s="289"/>
      <c r="C190" s="35" t="s">
        <v>1326</v>
      </c>
      <c r="D190" s="36" t="s">
        <v>1689</v>
      </c>
    </row>
    <row r="191" spans="1:4" x14ac:dyDescent="0.25">
      <c r="A191" s="45">
        <v>189</v>
      </c>
      <c r="B191" s="289"/>
      <c r="C191" s="35" t="s">
        <v>1335</v>
      </c>
      <c r="D191" s="36" t="s">
        <v>1689</v>
      </c>
    </row>
    <row r="192" spans="1:4" x14ac:dyDescent="0.25">
      <c r="A192" s="45">
        <v>190</v>
      </c>
      <c r="B192" s="289"/>
      <c r="C192" s="35" t="s">
        <v>1338</v>
      </c>
      <c r="D192" s="36" t="s">
        <v>1690</v>
      </c>
    </row>
    <row r="193" spans="1:4" x14ac:dyDescent="0.25">
      <c r="A193" s="45">
        <v>191</v>
      </c>
      <c r="B193" s="289"/>
      <c r="C193" s="35" t="s">
        <v>1362</v>
      </c>
      <c r="D193" s="36" t="s">
        <v>1689</v>
      </c>
    </row>
    <row r="194" spans="1:4" x14ac:dyDescent="0.25">
      <c r="A194" s="45">
        <v>192</v>
      </c>
      <c r="B194" s="289"/>
      <c r="C194" s="35" t="s">
        <v>1369</v>
      </c>
      <c r="D194" s="36" t="s">
        <v>1690</v>
      </c>
    </row>
    <row r="195" spans="1:4" x14ac:dyDescent="0.25">
      <c r="A195" s="45">
        <v>193</v>
      </c>
      <c r="B195" s="289"/>
      <c r="C195" s="35" t="s">
        <v>1371</v>
      </c>
      <c r="D195" s="36" t="s">
        <v>1690</v>
      </c>
    </row>
    <row r="196" spans="1:4" x14ac:dyDescent="0.25">
      <c r="A196" s="45">
        <v>194</v>
      </c>
      <c r="B196" s="289"/>
      <c r="C196" s="35" t="s">
        <v>1391</v>
      </c>
      <c r="D196" s="36" t="s">
        <v>1691</v>
      </c>
    </row>
    <row r="197" spans="1:4" x14ac:dyDescent="0.25">
      <c r="A197" s="45">
        <v>195</v>
      </c>
      <c r="B197" s="289"/>
      <c r="C197" s="35" t="s">
        <v>1394</v>
      </c>
      <c r="D197" s="36" t="s">
        <v>1691</v>
      </c>
    </row>
    <row r="198" spans="1:4" x14ac:dyDescent="0.25">
      <c r="A198" s="45">
        <v>196</v>
      </c>
      <c r="B198" s="289"/>
      <c r="C198" s="35" t="s">
        <v>1398</v>
      </c>
      <c r="D198" s="36" t="s">
        <v>1689</v>
      </c>
    </row>
    <row r="199" spans="1:4" x14ac:dyDescent="0.25">
      <c r="A199" s="45">
        <v>197</v>
      </c>
      <c r="B199" s="289"/>
      <c r="C199" s="35" t="s">
        <v>1404</v>
      </c>
      <c r="D199" s="36" t="s">
        <v>1691</v>
      </c>
    </row>
    <row r="200" spans="1:4" x14ac:dyDescent="0.25">
      <c r="A200" s="45">
        <v>198</v>
      </c>
      <c r="B200" s="289"/>
      <c r="C200" s="35" t="s">
        <v>1430</v>
      </c>
      <c r="D200" s="36" t="s">
        <v>1690</v>
      </c>
    </row>
    <row r="201" spans="1:4" ht="15.75" thickBot="1" x14ac:dyDescent="0.3">
      <c r="A201" s="45">
        <v>199</v>
      </c>
      <c r="B201" s="290"/>
      <c r="C201" s="37" t="s">
        <v>1443</v>
      </c>
      <c r="D201" s="38" t="s">
        <v>1689</v>
      </c>
    </row>
    <row r="202" spans="1:4" x14ac:dyDescent="0.25">
      <c r="A202" s="45">
        <v>200</v>
      </c>
      <c r="B202" s="288" t="s">
        <v>1022</v>
      </c>
      <c r="C202" s="33" t="s">
        <v>1418</v>
      </c>
      <c r="D202" s="34" t="s">
        <v>1023</v>
      </c>
    </row>
    <row r="203" spans="1:4" x14ac:dyDescent="0.25">
      <c r="A203" s="45">
        <v>201</v>
      </c>
      <c r="B203" s="289"/>
      <c r="C203" s="35" t="s">
        <v>1168</v>
      </c>
      <c r="D203" s="36" t="s">
        <v>1023</v>
      </c>
    </row>
    <row r="204" spans="1:4" x14ac:dyDescent="0.25">
      <c r="A204" s="45">
        <v>202</v>
      </c>
      <c r="B204" s="289"/>
      <c r="C204" s="35" t="s">
        <v>1202</v>
      </c>
      <c r="D204" s="36" t="s">
        <v>1023</v>
      </c>
    </row>
    <row r="205" spans="1:4" x14ac:dyDescent="0.25">
      <c r="A205" s="45">
        <v>203</v>
      </c>
      <c r="B205" s="289"/>
      <c r="C205" s="35" t="s">
        <v>1206</v>
      </c>
      <c r="D205" s="36" t="s">
        <v>1023</v>
      </c>
    </row>
    <row r="206" spans="1:4" x14ac:dyDescent="0.25">
      <c r="A206" s="45">
        <v>204</v>
      </c>
      <c r="B206" s="289"/>
      <c r="C206" s="35" t="s">
        <v>1221</v>
      </c>
      <c r="D206" s="36" t="s">
        <v>1023</v>
      </c>
    </row>
    <row r="207" spans="1:4" x14ac:dyDescent="0.25">
      <c r="A207" s="45">
        <v>205</v>
      </c>
      <c r="B207" s="289"/>
      <c r="C207" s="35" t="s">
        <v>1227</v>
      </c>
      <c r="D207" s="36" t="s">
        <v>1023</v>
      </c>
    </row>
    <row r="208" spans="1:4" x14ac:dyDescent="0.25">
      <c r="A208" s="45">
        <v>206</v>
      </c>
      <c r="B208" s="289"/>
      <c r="C208" s="35" t="s">
        <v>1229</v>
      </c>
      <c r="D208" s="36" t="s">
        <v>1023</v>
      </c>
    </row>
    <row r="209" spans="1:4" x14ac:dyDescent="0.25">
      <c r="A209" s="45">
        <v>207</v>
      </c>
      <c r="B209" s="289"/>
      <c r="C209" s="35" t="s">
        <v>1261</v>
      </c>
      <c r="D209" s="36" t="s">
        <v>1023</v>
      </c>
    </row>
    <row r="210" spans="1:4" x14ac:dyDescent="0.25">
      <c r="A210" s="45">
        <v>208</v>
      </c>
      <c r="B210" s="289"/>
      <c r="C210" s="35" t="s">
        <v>1272</v>
      </c>
      <c r="D210" s="36" t="s">
        <v>1023</v>
      </c>
    </row>
    <row r="211" spans="1:4" x14ac:dyDescent="0.25">
      <c r="A211" s="45">
        <v>209</v>
      </c>
      <c r="B211" s="289"/>
      <c r="C211" s="35" t="s">
        <v>1295</v>
      </c>
      <c r="D211" s="36" t="s">
        <v>1023</v>
      </c>
    </row>
    <row r="212" spans="1:4" x14ac:dyDescent="0.25">
      <c r="A212" s="45">
        <v>210</v>
      </c>
      <c r="B212" s="289"/>
      <c r="C212" s="35" t="s">
        <v>1024</v>
      </c>
      <c r="D212" s="36" t="s">
        <v>1023</v>
      </c>
    </row>
    <row r="213" spans="1:4" x14ac:dyDescent="0.25">
      <c r="A213" s="45">
        <v>211</v>
      </c>
      <c r="B213" s="289"/>
      <c r="C213" s="35" t="s">
        <v>1315</v>
      </c>
      <c r="D213" s="36" t="s">
        <v>1023</v>
      </c>
    </row>
    <row r="214" spans="1:4" x14ac:dyDescent="0.25">
      <c r="A214" s="45">
        <v>212</v>
      </c>
      <c r="B214" s="289"/>
      <c r="C214" s="35" t="s">
        <v>1331</v>
      </c>
      <c r="D214" s="36" t="s">
        <v>1023</v>
      </c>
    </row>
    <row r="215" spans="1:4" x14ac:dyDescent="0.25">
      <c r="A215" s="45">
        <v>213</v>
      </c>
      <c r="B215" s="289"/>
      <c r="C215" s="35" t="s">
        <v>1336</v>
      </c>
      <c r="D215" s="36" t="s">
        <v>1023</v>
      </c>
    </row>
    <row r="216" spans="1:4" x14ac:dyDescent="0.25">
      <c r="A216" s="45">
        <v>214</v>
      </c>
      <c r="B216" s="289"/>
      <c r="C216" s="35" t="s">
        <v>1343</v>
      </c>
      <c r="D216" s="36" t="s">
        <v>1023</v>
      </c>
    </row>
    <row r="217" spans="1:4" x14ac:dyDescent="0.25">
      <c r="A217" s="45">
        <v>215</v>
      </c>
      <c r="B217" s="289"/>
      <c r="C217" s="35" t="s">
        <v>1387</v>
      </c>
      <c r="D217" s="36" t="s">
        <v>1023</v>
      </c>
    </row>
    <row r="218" spans="1:4" x14ac:dyDescent="0.25">
      <c r="A218" s="45">
        <v>216</v>
      </c>
      <c r="B218" s="289"/>
      <c r="C218" s="35" t="s">
        <v>1420</v>
      </c>
      <c r="D218" s="36" t="s">
        <v>1023</v>
      </c>
    </row>
    <row r="219" spans="1:4" x14ac:dyDescent="0.25">
      <c r="A219" s="45">
        <v>217</v>
      </c>
      <c r="B219" s="289"/>
      <c r="C219" s="35" t="s">
        <v>1425</v>
      </c>
      <c r="D219" s="36" t="s">
        <v>1023</v>
      </c>
    </row>
    <row r="220" spans="1:4" x14ac:dyDescent="0.25">
      <c r="A220" s="45">
        <v>218</v>
      </c>
      <c r="B220" s="289"/>
      <c r="C220" s="35" t="s">
        <v>1435</v>
      </c>
      <c r="D220" s="36" t="s">
        <v>1023</v>
      </c>
    </row>
    <row r="221" spans="1:4" x14ac:dyDescent="0.25">
      <c r="A221" s="45">
        <v>219</v>
      </c>
      <c r="B221" s="289"/>
      <c r="C221" s="35" t="s">
        <v>1438</v>
      </c>
      <c r="D221" s="36" t="s">
        <v>1023</v>
      </c>
    </row>
    <row r="222" spans="1:4" x14ac:dyDescent="0.25">
      <c r="A222" s="45">
        <v>220</v>
      </c>
      <c r="B222" s="289"/>
      <c r="C222" s="35" t="s">
        <v>1183</v>
      </c>
      <c r="D222" s="36" t="s">
        <v>1023</v>
      </c>
    </row>
    <row r="223" spans="1:4" x14ac:dyDescent="0.25">
      <c r="A223" s="45">
        <v>221</v>
      </c>
      <c r="B223" s="289"/>
      <c r="C223" s="35" t="s">
        <v>1154</v>
      </c>
      <c r="D223" s="36" t="s">
        <v>1020</v>
      </c>
    </row>
    <row r="224" spans="1:4" x14ac:dyDescent="0.25">
      <c r="A224" s="45">
        <v>222</v>
      </c>
      <c r="B224" s="289"/>
      <c r="C224" s="35" t="s">
        <v>1194</v>
      </c>
      <c r="D224" s="36" t="s">
        <v>1020</v>
      </c>
    </row>
    <row r="225" spans="1:4" x14ac:dyDescent="0.25">
      <c r="A225" s="45">
        <v>223</v>
      </c>
      <c r="B225" s="289"/>
      <c r="C225" s="35" t="s">
        <v>1021</v>
      </c>
      <c r="D225" s="36" t="s">
        <v>1020</v>
      </c>
    </row>
    <row r="226" spans="1:4" x14ac:dyDescent="0.25">
      <c r="A226" s="45">
        <v>224</v>
      </c>
      <c r="B226" s="289"/>
      <c r="C226" s="35" t="s">
        <v>1218</v>
      </c>
      <c r="D226" s="36" t="s">
        <v>1020</v>
      </c>
    </row>
    <row r="227" spans="1:4" x14ac:dyDescent="0.25">
      <c r="A227" s="45">
        <v>225</v>
      </c>
      <c r="B227" s="289"/>
      <c r="C227" s="35" t="s">
        <v>1274</v>
      </c>
      <c r="D227" s="36" t="s">
        <v>1020</v>
      </c>
    </row>
    <row r="228" spans="1:4" x14ac:dyDescent="0.25">
      <c r="A228" s="45">
        <v>226</v>
      </c>
      <c r="B228" s="289"/>
      <c r="C228" s="35" t="s">
        <v>1279</v>
      </c>
      <c r="D228" s="36" t="s">
        <v>1020</v>
      </c>
    </row>
    <row r="229" spans="1:4" x14ac:dyDescent="0.25">
      <c r="A229" s="45">
        <v>227</v>
      </c>
      <c r="B229" s="289"/>
      <c r="C229" s="35" t="s">
        <v>1282</v>
      </c>
      <c r="D229" s="36" t="s">
        <v>1020</v>
      </c>
    </row>
    <row r="230" spans="1:4" x14ac:dyDescent="0.25">
      <c r="A230" s="45">
        <v>228</v>
      </c>
      <c r="B230" s="289"/>
      <c r="C230" s="35" t="s">
        <v>1352</v>
      </c>
      <c r="D230" s="36" t="s">
        <v>1020</v>
      </c>
    </row>
    <row r="231" spans="1:4" x14ac:dyDescent="0.25">
      <c r="A231" s="45">
        <v>229</v>
      </c>
      <c r="B231" s="289"/>
      <c r="C231" s="35" t="s">
        <v>1374</v>
      </c>
      <c r="D231" s="36" t="s">
        <v>1020</v>
      </c>
    </row>
    <row r="232" spans="1:4" x14ac:dyDescent="0.25">
      <c r="A232" s="45">
        <v>230</v>
      </c>
      <c r="B232" s="289"/>
      <c r="C232" s="35" t="s">
        <v>1429</v>
      </c>
      <c r="D232" s="36" t="s">
        <v>1020</v>
      </c>
    </row>
    <row r="233" spans="1:4" ht="15.75" thickBot="1" x14ac:dyDescent="0.3">
      <c r="A233" s="45">
        <v>231</v>
      </c>
      <c r="B233" s="289"/>
      <c r="C233" s="37" t="s">
        <v>1433</v>
      </c>
      <c r="D233" s="38" t="s">
        <v>1020</v>
      </c>
    </row>
    <row r="234" spans="1:4" x14ac:dyDescent="0.25">
      <c r="A234" s="45">
        <v>232</v>
      </c>
      <c r="B234" s="289" t="s">
        <v>1464</v>
      </c>
      <c r="C234" s="33" t="s">
        <v>964</v>
      </c>
      <c r="D234" s="34" t="s">
        <v>1692</v>
      </c>
    </row>
    <row r="235" spans="1:4" x14ac:dyDescent="0.25">
      <c r="A235" s="45">
        <v>233</v>
      </c>
      <c r="B235" s="289"/>
      <c r="C235" s="35" t="s">
        <v>1201</v>
      </c>
      <c r="D235" s="36" t="s">
        <v>1692</v>
      </c>
    </row>
    <row r="236" spans="1:4" x14ac:dyDescent="0.25">
      <c r="A236" s="45">
        <v>234</v>
      </c>
      <c r="B236" s="289"/>
      <c r="C236" s="35" t="s">
        <v>1226</v>
      </c>
      <c r="D236" s="36" t="s">
        <v>1465</v>
      </c>
    </row>
    <row r="237" spans="1:4" x14ac:dyDescent="0.25">
      <c r="A237" s="45">
        <v>235</v>
      </c>
      <c r="B237" s="289"/>
      <c r="C237" s="35" t="s">
        <v>1252</v>
      </c>
      <c r="D237" s="36" t="s">
        <v>1465</v>
      </c>
    </row>
    <row r="238" spans="1:4" x14ac:dyDescent="0.25">
      <c r="A238" s="45">
        <v>236</v>
      </c>
      <c r="B238" s="289"/>
      <c r="C238" s="35" t="s">
        <v>1253</v>
      </c>
      <c r="D238" s="36" t="s">
        <v>1465</v>
      </c>
    </row>
    <row r="239" spans="1:4" x14ac:dyDescent="0.25">
      <c r="A239" s="45">
        <v>237</v>
      </c>
      <c r="B239" s="289"/>
      <c r="C239" s="35" t="s">
        <v>1258</v>
      </c>
      <c r="D239" s="36" t="s">
        <v>1692</v>
      </c>
    </row>
    <row r="240" spans="1:4" x14ac:dyDescent="0.25">
      <c r="A240" s="45">
        <v>238</v>
      </c>
      <c r="B240" s="289"/>
      <c r="C240" s="35" t="s">
        <v>1277</v>
      </c>
      <c r="D240" s="36" t="s">
        <v>1692</v>
      </c>
    </row>
    <row r="241" spans="1:4" x14ac:dyDescent="0.25">
      <c r="A241" s="45">
        <v>239</v>
      </c>
      <c r="B241" s="289"/>
      <c r="C241" s="35" t="s">
        <v>1285</v>
      </c>
      <c r="D241" s="36" t="s">
        <v>1692</v>
      </c>
    </row>
    <row r="242" spans="1:4" x14ac:dyDescent="0.25">
      <c r="A242" s="45">
        <v>240</v>
      </c>
      <c r="B242" s="289"/>
      <c r="C242" s="35" t="s">
        <v>1291</v>
      </c>
      <c r="D242" s="36" t="s">
        <v>1692</v>
      </c>
    </row>
    <row r="243" spans="1:4" x14ac:dyDescent="0.25">
      <c r="A243" s="45">
        <v>241</v>
      </c>
      <c r="B243" s="289"/>
      <c r="C243" s="35" t="s">
        <v>1316</v>
      </c>
      <c r="D243" s="36" t="s">
        <v>1692</v>
      </c>
    </row>
    <row r="244" spans="1:4" x14ac:dyDescent="0.25">
      <c r="A244" s="45">
        <v>242</v>
      </c>
      <c r="B244" s="289"/>
      <c r="C244" s="35" t="s">
        <v>1319</v>
      </c>
      <c r="D244" s="36" t="s">
        <v>1692</v>
      </c>
    </row>
    <row r="245" spans="1:4" ht="15.75" thickBot="1" x14ac:dyDescent="0.3">
      <c r="A245" s="45">
        <v>243</v>
      </c>
      <c r="B245" s="289"/>
      <c r="C245" s="37" t="s">
        <v>1380</v>
      </c>
      <c r="D245" s="38" t="s">
        <v>1465</v>
      </c>
    </row>
    <row r="246" spans="1:4" x14ac:dyDescent="0.25">
      <c r="A246" s="45">
        <v>244</v>
      </c>
      <c r="B246" s="289" t="s">
        <v>1467</v>
      </c>
      <c r="C246" s="33" t="s">
        <v>1346</v>
      </c>
      <c r="D246" s="34" t="s">
        <v>1267</v>
      </c>
    </row>
    <row r="247" spans="1:4" x14ac:dyDescent="0.25">
      <c r="A247" s="45">
        <v>245</v>
      </c>
      <c r="B247" s="289"/>
      <c r="C247" s="35" t="s">
        <v>1161</v>
      </c>
      <c r="D247" s="36" t="s">
        <v>1267</v>
      </c>
    </row>
    <row r="248" spans="1:4" x14ac:dyDescent="0.25">
      <c r="A248" s="45">
        <v>246</v>
      </c>
      <c r="B248" s="289"/>
      <c r="C248" s="35" t="s">
        <v>1186</v>
      </c>
      <c r="D248" s="36" t="s">
        <v>1267</v>
      </c>
    </row>
    <row r="249" spans="1:4" x14ac:dyDescent="0.25">
      <c r="A249" s="45">
        <v>247</v>
      </c>
      <c r="B249" s="289"/>
      <c r="C249" s="35" t="s">
        <v>1223</v>
      </c>
      <c r="D249" s="36" t="s">
        <v>1267</v>
      </c>
    </row>
    <row r="250" spans="1:4" x14ac:dyDescent="0.25">
      <c r="A250" s="45">
        <v>248</v>
      </c>
      <c r="B250" s="289"/>
      <c r="C250" s="35" t="s">
        <v>1224</v>
      </c>
      <c r="D250" s="36" t="s">
        <v>1267</v>
      </c>
    </row>
    <row r="251" spans="1:4" x14ac:dyDescent="0.25">
      <c r="A251" s="45">
        <v>249</v>
      </c>
      <c r="B251" s="289"/>
      <c r="C251" s="35" t="s">
        <v>1278</v>
      </c>
      <c r="D251" s="36" t="s">
        <v>1267</v>
      </c>
    </row>
    <row r="252" spans="1:4" x14ac:dyDescent="0.25">
      <c r="A252" s="45">
        <v>250</v>
      </c>
      <c r="B252" s="289"/>
      <c r="C252" s="35" t="s">
        <v>1267</v>
      </c>
      <c r="D252" s="36" t="s">
        <v>1267</v>
      </c>
    </row>
    <row r="253" spans="1:4" x14ac:dyDescent="0.25">
      <c r="A253" s="45">
        <v>251</v>
      </c>
      <c r="B253" s="289"/>
      <c r="C253" s="35" t="s">
        <v>1293</v>
      </c>
      <c r="D253" s="36" t="s">
        <v>1267</v>
      </c>
    </row>
    <row r="254" spans="1:4" x14ac:dyDescent="0.25">
      <c r="A254" s="45">
        <v>252</v>
      </c>
      <c r="B254" s="289"/>
      <c r="C254" s="35" t="s">
        <v>1348</v>
      </c>
      <c r="D254" s="36" t="s">
        <v>1267</v>
      </c>
    </row>
    <row r="255" spans="1:4" x14ac:dyDescent="0.25">
      <c r="A255" s="45">
        <v>253</v>
      </c>
      <c r="B255" s="289"/>
      <c r="C255" s="35" t="s">
        <v>1171</v>
      </c>
      <c r="D255" s="36" t="s">
        <v>1693</v>
      </c>
    </row>
    <row r="256" spans="1:4" x14ac:dyDescent="0.25">
      <c r="A256" s="45">
        <v>254</v>
      </c>
      <c r="B256" s="289"/>
      <c r="C256" s="35" t="s">
        <v>1152</v>
      </c>
      <c r="D256" s="36" t="s">
        <v>1693</v>
      </c>
    </row>
    <row r="257" spans="1:4" x14ac:dyDescent="0.25">
      <c r="A257" s="45">
        <v>255</v>
      </c>
      <c r="B257" s="289"/>
      <c r="C257" s="35" t="s">
        <v>1184</v>
      </c>
      <c r="D257" s="36" t="s">
        <v>1693</v>
      </c>
    </row>
    <row r="258" spans="1:4" x14ac:dyDescent="0.25">
      <c r="A258" s="45">
        <v>256</v>
      </c>
      <c r="B258" s="289"/>
      <c r="C258" s="35" t="s">
        <v>1204</v>
      </c>
      <c r="D258" s="36" t="s">
        <v>1693</v>
      </c>
    </row>
    <row r="259" spans="1:4" x14ac:dyDescent="0.25">
      <c r="A259" s="45">
        <v>257</v>
      </c>
      <c r="B259" s="289"/>
      <c r="C259" s="35" t="s">
        <v>1209</v>
      </c>
      <c r="D259" s="36" t="s">
        <v>1693</v>
      </c>
    </row>
    <row r="260" spans="1:4" x14ac:dyDescent="0.25">
      <c r="A260" s="45">
        <v>258</v>
      </c>
      <c r="B260" s="289"/>
      <c r="C260" s="35" t="s">
        <v>1351</v>
      </c>
      <c r="D260" s="36" t="s">
        <v>1693</v>
      </c>
    </row>
    <row r="261" spans="1:4" x14ac:dyDescent="0.25">
      <c r="A261" s="45">
        <v>259</v>
      </c>
      <c r="B261" s="289"/>
      <c r="C261" s="35" t="s">
        <v>1356</v>
      </c>
      <c r="D261" s="36" t="s">
        <v>1693</v>
      </c>
    </row>
    <row r="262" spans="1:4" x14ac:dyDescent="0.25">
      <c r="A262" s="45">
        <v>260</v>
      </c>
      <c r="B262" s="289"/>
      <c r="C262" s="35" t="s">
        <v>1357</v>
      </c>
      <c r="D262" s="36" t="s">
        <v>1693</v>
      </c>
    </row>
    <row r="263" spans="1:4" x14ac:dyDescent="0.25">
      <c r="A263" s="45">
        <v>261</v>
      </c>
      <c r="B263" s="289"/>
      <c r="C263" s="35" t="s">
        <v>1358</v>
      </c>
      <c r="D263" s="36" t="s">
        <v>1693</v>
      </c>
    </row>
    <row r="264" spans="1:4" x14ac:dyDescent="0.25">
      <c r="A264" s="45">
        <v>262</v>
      </c>
      <c r="B264" s="289"/>
      <c r="C264" s="35" t="s">
        <v>1365</v>
      </c>
      <c r="D264" s="36" t="s">
        <v>1693</v>
      </c>
    </row>
    <row r="265" spans="1:4" x14ac:dyDescent="0.25">
      <c r="A265" s="45">
        <v>263</v>
      </c>
      <c r="B265" s="289"/>
      <c r="C265" s="35" t="s">
        <v>1312</v>
      </c>
      <c r="D265" s="36" t="s">
        <v>1694</v>
      </c>
    </row>
    <row r="266" spans="1:4" x14ac:dyDescent="0.25">
      <c r="A266" s="45">
        <v>264</v>
      </c>
      <c r="B266" s="289"/>
      <c r="C266" s="35" t="s">
        <v>1347</v>
      </c>
      <c r="D266" s="36" t="s">
        <v>1694</v>
      </c>
    </row>
    <row r="267" spans="1:4" x14ac:dyDescent="0.25">
      <c r="A267" s="45">
        <v>265</v>
      </c>
      <c r="B267" s="289"/>
      <c r="C267" s="35" t="s">
        <v>1353</v>
      </c>
      <c r="D267" s="36" t="s">
        <v>1694</v>
      </c>
    </row>
    <row r="268" spans="1:4" x14ac:dyDescent="0.25">
      <c r="A268" s="45">
        <v>266</v>
      </c>
      <c r="B268" s="289"/>
      <c r="C268" s="35" t="s">
        <v>1355</v>
      </c>
      <c r="D268" s="36" t="s">
        <v>1694</v>
      </c>
    </row>
    <row r="269" spans="1:4" x14ac:dyDescent="0.25">
      <c r="A269" s="45">
        <v>267</v>
      </c>
      <c r="B269" s="289"/>
      <c r="C269" s="35" t="s">
        <v>1384</v>
      </c>
      <c r="D269" s="36" t="s">
        <v>1694</v>
      </c>
    </row>
    <row r="270" spans="1:4" x14ac:dyDescent="0.25">
      <c r="A270" s="45">
        <v>268</v>
      </c>
      <c r="B270" s="289"/>
      <c r="C270" s="35" t="s">
        <v>1402</v>
      </c>
      <c r="D270" s="36" t="s">
        <v>1694</v>
      </c>
    </row>
    <row r="271" spans="1:4" x14ac:dyDescent="0.25">
      <c r="A271" s="45">
        <v>269</v>
      </c>
      <c r="B271" s="289"/>
      <c r="C271" s="35" t="s">
        <v>1405</v>
      </c>
      <c r="D271" s="36" t="s">
        <v>1694</v>
      </c>
    </row>
    <row r="272" spans="1:4" x14ac:dyDescent="0.25">
      <c r="A272" s="45">
        <v>270</v>
      </c>
      <c r="B272" s="289"/>
      <c r="C272" s="35" t="s">
        <v>1175</v>
      </c>
      <c r="D272" s="36" t="s">
        <v>1318</v>
      </c>
    </row>
    <row r="273" spans="1:4" x14ac:dyDescent="0.25">
      <c r="A273" s="45">
        <v>271</v>
      </c>
      <c r="B273" s="289"/>
      <c r="C273" s="35" t="s">
        <v>1225</v>
      </c>
      <c r="D273" s="36" t="s">
        <v>1318</v>
      </c>
    </row>
    <row r="274" spans="1:4" x14ac:dyDescent="0.25">
      <c r="A274" s="45">
        <v>272</v>
      </c>
      <c r="B274" s="289"/>
      <c r="C274" s="35" t="s">
        <v>1233</v>
      </c>
      <c r="D274" s="36" t="s">
        <v>1318</v>
      </c>
    </row>
    <row r="275" spans="1:4" ht="15.75" thickBot="1" x14ac:dyDescent="0.3">
      <c r="A275" s="45">
        <v>273</v>
      </c>
      <c r="B275" s="290"/>
      <c r="C275" s="37" t="s">
        <v>1318</v>
      </c>
      <c r="D275" s="38" t="s">
        <v>1318</v>
      </c>
    </row>
    <row r="276" spans="1:4" x14ac:dyDescent="0.25">
      <c r="A276" s="45">
        <v>274</v>
      </c>
      <c r="B276" s="288" t="s">
        <v>1716</v>
      </c>
      <c r="C276" s="35" t="s">
        <v>1695</v>
      </c>
      <c r="D276" s="36" t="s">
        <v>1696</v>
      </c>
    </row>
    <row r="277" spans="1:4" x14ac:dyDescent="0.25">
      <c r="A277" s="45">
        <v>275</v>
      </c>
      <c r="B277" s="289"/>
      <c r="C277" s="35" t="s">
        <v>1254</v>
      </c>
      <c r="D277" s="36" t="s">
        <v>1696</v>
      </c>
    </row>
    <row r="278" spans="1:4" x14ac:dyDescent="0.25">
      <c r="A278" s="45">
        <v>276</v>
      </c>
      <c r="B278" s="289"/>
      <c r="C278" s="35" t="s">
        <v>1697</v>
      </c>
      <c r="D278" s="36" t="s">
        <v>1698</v>
      </c>
    </row>
    <row r="279" spans="1:4" x14ac:dyDescent="0.25">
      <c r="A279" s="45">
        <v>277</v>
      </c>
      <c r="B279" s="289"/>
      <c r="C279" s="35" t="s">
        <v>1028</v>
      </c>
      <c r="D279" s="36" t="s">
        <v>1698</v>
      </c>
    </row>
    <row r="280" spans="1:4" x14ac:dyDescent="0.25">
      <c r="A280" s="45">
        <v>278</v>
      </c>
      <c r="B280" s="289"/>
      <c r="C280" s="35" t="s">
        <v>1231</v>
      </c>
      <c r="D280" s="36" t="s">
        <v>1698</v>
      </c>
    </row>
    <row r="281" spans="1:4" x14ac:dyDescent="0.25">
      <c r="A281" s="45">
        <v>279</v>
      </c>
      <c r="B281" s="289"/>
      <c r="C281" s="35" t="s">
        <v>1026</v>
      </c>
      <c r="D281" s="36" t="s">
        <v>1699</v>
      </c>
    </row>
    <row r="282" spans="1:4" x14ac:dyDescent="0.25">
      <c r="A282" s="45">
        <v>280</v>
      </c>
      <c r="B282" s="289"/>
      <c r="C282" s="35" t="s">
        <v>1308</v>
      </c>
      <c r="D282" s="36" t="s">
        <v>1699</v>
      </c>
    </row>
    <row r="283" spans="1:4" x14ac:dyDescent="0.25">
      <c r="A283" s="45">
        <v>281</v>
      </c>
      <c r="B283" s="289"/>
      <c r="C283" s="35" t="s">
        <v>1428</v>
      </c>
      <c r="D283" s="36" t="s">
        <v>1699</v>
      </c>
    </row>
    <row r="284" spans="1:4" x14ac:dyDescent="0.25">
      <c r="A284" s="45">
        <v>282</v>
      </c>
      <c r="B284" s="289"/>
      <c r="C284" s="35" t="s">
        <v>1180</v>
      </c>
      <c r="D284" s="36" t="s">
        <v>1029</v>
      </c>
    </row>
    <row r="285" spans="1:4" ht="15.75" thickBot="1" x14ac:dyDescent="0.3">
      <c r="A285" s="45">
        <v>283</v>
      </c>
      <c r="B285" s="290"/>
      <c r="C285" s="35" t="s">
        <v>1383</v>
      </c>
      <c r="D285" s="36" t="s">
        <v>1029</v>
      </c>
    </row>
    <row r="286" spans="1:4" x14ac:dyDescent="0.25">
      <c r="A286" s="45">
        <v>284</v>
      </c>
      <c r="B286" s="288" t="s">
        <v>1033</v>
      </c>
      <c r="C286" s="33" t="s">
        <v>1035</v>
      </c>
      <c r="D286" s="34" t="s">
        <v>1034</v>
      </c>
    </row>
    <row r="287" spans="1:4" x14ac:dyDescent="0.25">
      <c r="A287" s="45">
        <v>285</v>
      </c>
      <c r="B287" s="289"/>
      <c r="C287" s="35" t="s">
        <v>1255</v>
      </c>
      <c r="D287" s="36" t="s">
        <v>1034</v>
      </c>
    </row>
    <row r="288" spans="1:4" x14ac:dyDescent="0.25">
      <c r="A288" s="45">
        <v>286</v>
      </c>
      <c r="B288" s="289"/>
      <c r="C288" s="35" t="s">
        <v>1385</v>
      </c>
      <c r="D288" s="36" t="s">
        <v>1034</v>
      </c>
    </row>
    <row r="289" spans="1:4" x14ac:dyDescent="0.25">
      <c r="A289" s="45">
        <v>287</v>
      </c>
      <c r="B289" s="289"/>
      <c r="C289" s="35" t="s">
        <v>1397</v>
      </c>
      <c r="D289" s="36" t="s">
        <v>1034</v>
      </c>
    </row>
    <row r="290" spans="1:4" x14ac:dyDescent="0.25">
      <c r="A290" s="45">
        <v>288</v>
      </c>
      <c r="B290" s="289"/>
      <c r="C290" s="35" t="s">
        <v>1159</v>
      </c>
      <c r="D290" s="36" t="s">
        <v>1700</v>
      </c>
    </row>
    <row r="291" spans="1:4" x14ac:dyDescent="0.25">
      <c r="A291" s="45">
        <v>289</v>
      </c>
      <c r="B291" s="289"/>
      <c r="C291" s="35" t="s">
        <v>1155</v>
      </c>
      <c r="D291" s="36" t="s">
        <v>1700</v>
      </c>
    </row>
    <row r="292" spans="1:4" x14ac:dyDescent="0.25">
      <c r="A292" s="45">
        <v>290</v>
      </c>
      <c r="B292" s="289"/>
      <c r="C292" s="35" t="s">
        <v>1339</v>
      </c>
      <c r="D292" s="36" t="s">
        <v>1701</v>
      </c>
    </row>
    <row r="293" spans="1:4" x14ac:dyDescent="0.25">
      <c r="A293" s="45">
        <v>291</v>
      </c>
      <c r="B293" s="289"/>
      <c r="C293" s="35" t="s">
        <v>1340</v>
      </c>
      <c r="D293" s="36" t="s">
        <v>1701</v>
      </c>
    </row>
    <row r="294" spans="1:4" x14ac:dyDescent="0.25">
      <c r="A294" s="45">
        <v>292</v>
      </c>
      <c r="B294" s="289"/>
      <c r="C294" s="35" t="s">
        <v>1422</v>
      </c>
      <c r="D294" s="36" t="s">
        <v>1701</v>
      </c>
    </row>
    <row r="295" spans="1:4" x14ac:dyDescent="0.25">
      <c r="A295" s="45">
        <v>293</v>
      </c>
      <c r="B295" s="289"/>
      <c r="C295" s="35" t="s">
        <v>1032</v>
      </c>
      <c r="D295" s="36" t="s">
        <v>1702</v>
      </c>
    </row>
    <row r="296" spans="1:4" ht="15.75" thickBot="1" x14ac:dyDescent="0.3">
      <c r="A296" s="45">
        <v>294</v>
      </c>
      <c r="B296" s="290"/>
      <c r="C296" s="35" t="s">
        <v>1427</v>
      </c>
      <c r="D296" s="36" t="s">
        <v>1702</v>
      </c>
    </row>
    <row r="297" spans="1:4" x14ac:dyDescent="0.25">
      <c r="A297" s="45">
        <v>295</v>
      </c>
      <c r="B297" s="288" t="s">
        <v>1717</v>
      </c>
      <c r="C297" s="49" t="s">
        <v>1413</v>
      </c>
      <c r="D297" s="50" t="s">
        <v>1703</v>
      </c>
    </row>
    <row r="298" spans="1:4" x14ac:dyDescent="0.25">
      <c r="A298" s="45">
        <v>296</v>
      </c>
      <c r="B298" s="289"/>
      <c r="C298" s="51" t="s">
        <v>1173</v>
      </c>
      <c r="D298" s="52" t="s">
        <v>1703</v>
      </c>
    </row>
    <row r="299" spans="1:4" x14ac:dyDescent="0.25">
      <c r="A299" s="45">
        <v>297</v>
      </c>
      <c r="B299" s="289"/>
      <c r="C299" s="51" t="s">
        <v>1174</v>
      </c>
      <c r="D299" s="52" t="s">
        <v>1703</v>
      </c>
    </row>
    <row r="300" spans="1:4" x14ac:dyDescent="0.25">
      <c r="A300" s="45">
        <v>298</v>
      </c>
      <c r="B300" s="289"/>
      <c r="C300" s="51" t="s">
        <v>1197</v>
      </c>
      <c r="D300" s="52" t="s">
        <v>1703</v>
      </c>
    </row>
    <row r="301" spans="1:4" x14ac:dyDescent="0.25">
      <c r="A301" s="45">
        <v>299</v>
      </c>
      <c r="B301" s="289"/>
      <c r="C301" s="51" t="s">
        <v>1212</v>
      </c>
      <c r="D301" s="52" t="s">
        <v>1703</v>
      </c>
    </row>
    <row r="302" spans="1:4" x14ac:dyDescent="0.25">
      <c r="A302" s="45">
        <v>300</v>
      </c>
      <c r="B302" s="289"/>
      <c r="C302" s="51" t="s">
        <v>1219</v>
      </c>
      <c r="D302" s="52" t="s">
        <v>1703</v>
      </c>
    </row>
    <row r="303" spans="1:4" x14ac:dyDescent="0.25">
      <c r="A303" s="45">
        <v>301</v>
      </c>
      <c r="B303" s="289"/>
      <c r="C303" s="51" t="s">
        <v>1238</v>
      </c>
      <c r="D303" s="52" t="s">
        <v>1703</v>
      </c>
    </row>
    <row r="304" spans="1:4" x14ac:dyDescent="0.25">
      <c r="A304" s="45">
        <v>302</v>
      </c>
      <c r="B304" s="289"/>
      <c r="C304" s="51" t="s">
        <v>1239</v>
      </c>
      <c r="D304" s="52" t="s">
        <v>1703</v>
      </c>
    </row>
    <row r="305" spans="1:4" x14ac:dyDescent="0.25">
      <c r="A305" s="45">
        <v>303</v>
      </c>
      <c r="B305" s="289"/>
      <c r="C305" s="51" t="s">
        <v>1243</v>
      </c>
      <c r="D305" s="52" t="s">
        <v>1703</v>
      </c>
    </row>
    <row r="306" spans="1:4" x14ac:dyDescent="0.25">
      <c r="A306" s="45">
        <v>304</v>
      </c>
      <c r="B306" s="289"/>
      <c r="C306" s="51" t="s">
        <v>1246</v>
      </c>
      <c r="D306" s="52" t="s">
        <v>1703</v>
      </c>
    </row>
    <row r="307" spans="1:4" x14ac:dyDescent="0.25">
      <c r="A307" s="45">
        <v>305</v>
      </c>
      <c r="B307" s="289"/>
      <c r="C307" s="51" t="s">
        <v>1247</v>
      </c>
      <c r="D307" s="52" t="s">
        <v>1703</v>
      </c>
    </row>
    <row r="308" spans="1:4" x14ac:dyDescent="0.25">
      <c r="A308" s="45">
        <v>306</v>
      </c>
      <c r="B308" s="289"/>
      <c r="C308" s="51" t="s">
        <v>1249</v>
      </c>
      <c r="D308" s="52" t="s">
        <v>1703</v>
      </c>
    </row>
    <row r="309" spans="1:4" x14ac:dyDescent="0.25">
      <c r="A309" s="45">
        <v>307</v>
      </c>
      <c r="B309" s="289"/>
      <c r="C309" s="51" t="s">
        <v>1250</v>
      </c>
      <c r="D309" s="52" t="s">
        <v>1703</v>
      </c>
    </row>
    <row r="310" spans="1:4" x14ac:dyDescent="0.25">
      <c r="A310" s="45">
        <v>308</v>
      </c>
      <c r="B310" s="289"/>
      <c r="C310" s="51" t="s">
        <v>1260</v>
      </c>
      <c r="D310" s="52" t="s">
        <v>1703</v>
      </c>
    </row>
    <row r="311" spans="1:4" x14ac:dyDescent="0.25">
      <c r="A311" s="45">
        <v>309</v>
      </c>
      <c r="B311" s="289"/>
      <c r="C311" s="51" t="s">
        <v>1268</v>
      </c>
      <c r="D311" s="52" t="s">
        <v>1703</v>
      </c>
    </row>
    <row r="312" spans="1:4" x14ac:dyDescent="0.25">
      <c r="A312" s="45">
        <v>310</v>
      </c>
      <c r="B312" s="289"/>
      <c r="C312" s="51" t="s">
        <v>1269</v>
      </c>
      <c r="D312" s="52" t="s">
        <v>1703</v>
      </c>
    </row>
    <row r="313" spans="1:4" x14ac:dyDescent="0.25">
      <c r="A313" s="45">
        <v>311</v>
      </c>
      <c r="B313" s="289"/>
      <c r="C313" s="51" t="s">
        <v>1270</v>
      </c>
      <c r="D313" s="52" t="s">
        <v>1703</v>
      </c>
    </row>
    <row r="314" spans="1:4" x14ac:dyDescent="0.25">
      <c r="A314" s="45">
        <v>312</v>
      </c>
      <c r="B314" s="289"/>
      <c r="C314" s="51" t="s">
        <v>1284</v>
      </c>
      <c r="D314" s="52" t="s">
        <v>1703</v>
      </c>
    </row>
    <row r="315" spans="1:4" x14ac:dyDescent="0.25">
      <c r="A315" s="45">
        <v>313</v>
      </c>
      <c r="B315" s="289"/>
      <c r="C315" s="51" t="s">
        <v>1286</v>
      </c>
      <c r="D315" s="52" t="s">
        <v>1703</v>
      </c>
    </row>
    <row r="316" spans="1:4" x14ac:dyDescent="0.25">
      <c r="A316" s="45">
        <v>314</v>
      </c>
      <c r="B316" s="289"/>
      <c r="C316" s="51" t="s">
        <v>1307</v>
      </c>
      <c r="D316" s="52" t="s">
        <v>1703</v>
      </c>
    </row>
    <row r="317" spans="1:4" x14ac:dyDescent="0.25">
      <c r="A317" s="45">
        <v>315</v>
      </c>
      <c r="B317" s="289"/>
      <c r="C317" s="51" t="s">
        <v>1704</v>
      </c>
      <c r="D317" s="52" t="s">
        <v>1703</v>
      </c>
    </row>
    <row r="318" spans="1:4" x14ac:dyDescent="0.25">
      <c r="A318" s="45">
        <v>316</v>
      </c>
      <c r="B318" s="289"/>
      <c r="C318" s="51" t="s">
        <v>1330</v>
      </c>
      <c r="D318" s="52" t="s">
        <v>1703</v>
      </c>
    </row>
    <row r="319" spans="1:4" x14ac:dyDescent="0.25">
      <c r="A319" s="45">
        <v>317</v>
      </c>
      <c r="B319" s="289"/>
      <c r="C319" s="51" t="s">
        <v>1341</v>
      </c>
      <c r="D319" s="52" t="s">
        <v>1703</v>
      </c>
    </row>
    <row r="320" spans="1:4" x14ac:dyDescent="0.25">
      <c r="A320" s="45">
        <v>318</v>
      </c>
      <c r="B320" s="289"/>
      <c r="C320" s="51" t="s">
        <v>1344</v>
      </c>
      <c r="D320" s="52" t="s">
        <v>1703</v>
      </c>
    </row>
    <row r="321" spans="1:4" x14ac:dyDescent="0.25">
      <c r="A321" s="45">
        <v>319</v>
      </c>
      <c r="B321" s="289"/>
      <c r="C321" s="51" t="s">
        <v>1360</v>
      </c>
      <c r="D321" s="52" t="s">
        <v>1703</v>
      </c>
    </row>
    <row r="322" spans="1:4" x14ac:dyDescent="0.25">
      <c r="A322" s="45">
        <v>320</v>
      </c>
      <c r="B322" s="289"/>
      <c r="C322" s="51" t="s">
        <v>1367</v>
      </c>
      <c r="D322" s="52" t="s">
        <v>1703</v>
      </c>
    </row>
    <row r="323" spans="1:4" x14ac:dyDescent="0.25">
      <c r="A323" s="45">
        <v>321</v>
      </c>
      <c r="B323" s="289"/>
      <c r="C323" s="51" t="s">
        <v>1373</v>
      </c>
      <c r="D323" s="52" t="s">
        <v>1703</v>
      </c>
    </row>
    <row r="324" spans="1:4" x14ac:dyDescent="0.25">
      <c r="A324" s="45">
        <v>322</v>
      </c>
      <c r="B324" s="289"/>
      <c r="C324" s="51" t="s">
        <v>1375</v>
      </c>
      <c r="D324" s="52" t="s">
        <v>1703</v>
      </c>
    </row>
    <row r="325" spans="1:4" x14ac:dyDescent="0.25">
      <c r="A325" s="45">
        <v>323</v>
      </c>
      <c r="B325" s="289"/>
      <c r="C325" s="51" t="s">
        <v>1400</v>
      </c>
      <c r="D325" s="52" t="s">
        <v>1703</v>
      </c>
    </row>
    <row r="326" spans="1:4" x14ac:dyDescent="0.25">
      <c r="A326" s="45">
        <v>324</v>
      </c>
      <c r="B326" s="289"/>
      <c r="C326" s="51" t="s">
        <v>1403</v>
      </c>
      <c r="D326" s="52" t="s">
        <v>1703</v>
      </c>
    </row>
    <row r="327" spans="1:4" x14ac:dyDescent="0.25">
      <c r="A327" s="45">
        <v>325</v>
      </c>
      <c r="B327" s="289"/>
      <c r="C327" s="51" t="s">
        <v>1408</v>
      </c>
      <c r="D327" s="52" t="s">
        <v>1703</v>
      </c>
    </row>
    <row r="328" spans="1:4" x14ac:dyDescent="0.25">
      <c r="A328" s="45">
        <v>326</v>
      </c>
      <c r="B328" s="289"/>
      <c r="C328" s="51" t="s">
        <v>1440</v>
      </c>
      <c r="D328" s="52" t="s">
        <v>1703</v>
      </c>
    </row>
    <row r="329" spans="1:4" x14ac:dyDescent="0.25">
      <c r="A329" s="45">
        <v>327</v>
      </c>
      <c r="B329" s="289"/>
      <c r="C329" s="51" t="s">
        <v>1345</v>
      </c>
      <c r="D329" s="52" t="s">
        <v>1038</v>
      </c>
    </row>
    <row r="330" spans="1:4" x14ac:dyDescent="0.25">
      <c r="A330" s="45">
        <v>328</v>
      </c>
      <c r="B330" s="289"/>
      <c r="C330" s="51" t="s">
        <v>1039</v>
      </c>
      <c r="D330" s="52" t="s">
        <v>1038</v>
      </c>
    </row>
    <row r="331" spans="1:4" x14ac:dyDescent="0.25">
      <c r="A331" s="45">
        <v>329</v>
      </c>
      <c r="B331" s="289"/>
      <c r="C331" s="51" t="s">
        <v>1401</v>
      </c>
      <c r="D331" s="52" t="s">
        <v>1038</v>
      </c>
    </row>
    <row r="332" spans="1:4" x14ac:dyDescent="0.25">
      <c r="A332" s="45">
        <v>330</v>
      </c>
      <c r="B332" s="289"/>
      <c r="C332" s="51" t="s">
        <v>1193</v>
      </c>
      <c r="D332" s="52" t="s">
        <v>1705</v>
      </c>
    </row>
    <row r="333" spans="1:4" x14ac:dyDescent="0.25">
      <c r="A333" s="45">
        <v>331</v>
      </c>
      <c r="B333" s="289"/>
      <c r="C333" s="51" t="s">
        <v>1257</v>
      </c>
      <c r="D333" s="52" t="s">
        <v>1705</v>
      </c>
    </row>
    <row r="334" spans="1:4" x14ac:dyDescent="0.25">
      <c r="A334" s="45">
        <v>332</v>
      </c>
      <c r="B334" s="289"/>
      <c r="C334" s="51" t="s">
        <v>1706</v>
      </c>
      <c r="D334" s="52" t="s">
        <v>1705</v>
      </c>
    </row>
    <row r="335" spans="1:4" x14ac:dyDescent="0.25">
      <c r="A335" s="45">
        <v>333</v>
      </c>
      <c r="B335" s="289"/>
      <c r="C335" s="51" t="s">
        <v>1390</v>
      </c>
      <c r="D335" s="52" t="s">
        <v>1036</v>
      </c>
    </row>
    <row r="336" spans="1:4" x14ac:dyDescent="0.25">
      <c r="A336" s="45">
        <v>334</v>
      </c>
      <c r="B336" s="289"/>
      <c r="C336" s="51" t="s">
        <v>1037</v>
      </c>
      <c r="D336" s="52" t="s">
        <v>1036</v>
      </c>
    </row>
    <row r="337" spans="1:4" x14ac:dyDescent="0.25">
      <c r="A337" s="45">
        <v>335</v>
      </c>
      <c r="B337" s="289"/>
      <c r="C337" s="51" t="s">
        <v>1163</v>
      </c>
      <c r="D337" s="52" t="s">
        <v>1036</v>
      </c>
    </row>
    <row r="338" spans="1:4" x14ac:dyDescent="0.25">
      <c r="A338" s="45">
        <v>336</v>
      </c>
      <c r="B338" s="289"/>
      <c r="C338" s="51" t="s">
        <v>1317</v>
      </c>
      <c r="D338" s="52" t="s">
        <v>1036</v>
      </c>
    </row>
    <row r="339" spans="1:4" x14ac:dyDescent="0.25">
      <c r="A339" s="45">
        <v>337</v>
      </c>
      <c r="B339" s="289"/>
      <c r="C339" s="51" t="s">
        <v>1040</v>
      </c>
      <c r="D339" s="52" t="s">
        <v>1040</v>
      </c>
    </row>
    <row r="340" spans="1:4" x14ac:dyDescent="0.25">
      <c r="A340" s="45">
        <v>338</v>
      </c>
      <c r="B340" s="289"/>
      <c r="C340" s="51" t="s">
        <v>1148</v>
      </c>
      <c r="D340" s="52" t="s">
        <v>1040</v>
      </c>
    </row>
    <row r="341" spans="1:4" x14ac:dyDescent="0.25">
      <c r="A341" s="45">
        <v>339</v>
      </c>
      <c r="B341" s="289"/>
      <c r="C341" s="51" t="s">
        <v>1203</v>
      </c>
      <c r="D341" s="52" t="s">
        <v>1040</v>
      </c>
    </row>
    <row r="342" spans="1:4" x14ac:dyDescent="0.25">
      <c r="A342" s="45">
        <v>340</v>
      </c>
      <c r="B342" s="289"/>
      <c r="C342" s="51" t="s">
        <v>1290</v>
      </c>
      <c r="D342" s="52" t="s">
        <v>1040</v>
      </c>
    </row>
    <row r="343" spans="1:4" x14ac:dyDescent="0.25">
      <c r="A343" s="45">
        <v>341</v>
      </c>
      <c r="B343" s="289"/>
      <c r="C343" s="51" t="s">
        <v>1041</v>
      </c>
      <c r="D343" s="52" t="s">
        <v>1040</v>
      </c>
    </row>
    <row r="344" spans="1:4" x14ac:dyDescent="0.25">
      <c r="A344" s="45">
        <v>342</v>
      </c>
      <c r="B344" s="289"/>
      <c r="C344" s="51" t="s">
        <v>1415</v>
      </c>
      <c r="D344" s="52" t="s">
        <v>1707</v>
      </c>
    </row>
    <row r="345" spans="1:4" x14ac:dyDescent="0.25">
      <c r="A345" s="45">
        <v>343</v>
      </c>
      <c r="B345" s="289"/>
      <c r="C345" s="51" t="s">
        <v>1214</v>
      </c>
      <c r="D345" s="52" t="s">
        <v>1707</v>
      </c>
    </row>
    <row r="346" spans="1:4" x14ac:dyDescent="0.25">
      <c r="A346" s="45">
        <v>344</v>
      </c>
      <c r="B346" s="289"/>
      <c r="C346" s="51" t="s">
        <v>1241</v>
      </c>
      <c r="D346" s="52" t="s">
        <v>1707</v>
      </c>
    </row>
    <row r="347" spans="1:4" x14ac:dyDescent="0.25">
      <c r="A347" s="45">
        <v>345</v>
      </c>
      <c r="B347" s="289"/>
      <c r="C347" s="51" t="s">
        <v>1314</v>
      </c>
      <c r="D347" s="52" t="s">
        <v>1707</v>
      </c>
    </row>
    <row r="348" spans="1:4" ht="15.75" thickBot="1" x14ac:dyDescent="0.3">
      <c r="A348" s="45">
        <v>346</v>
      </c>
      <c r="B348" s="290"/>
      <c r="C348" s="53" t="s">
        <v>1329</v>
      </c>
      <c r="D348" s="54" t="s">
        <v>1707</v>
      </c>
    </row>
    <row r="349" spans="1:4" x14ac:dyDescent="0.25">
      <c r="B349" s="31"/>
      <c r="C349" s="31"/>
      <c r="D349" s="31"/>
    </row>
    <row r="350" spans="1:4" x14ac:dyDescent="0.25">
      <c r="B350" s="32"/>
      <c r="C350" s="32"/>
      <c r="D350" s="32"/>
    </row>
    <row r="351" spans="1:4" x14ac:dyDescent="0.25">
      <c r="B351" s="32"/>
      <c r="C351" s="32"/>
      <c r="D351" s="32"/>
    </row>
  </sheetData>
  <mergeCells count="16">
    <mergeCell ref="B202:B233"/>
    <mergeCell ref="B234:B245"/>
    <mergeCell ref="B286:B296"/>
    <mergeCell ref="B297:B348"/>
    <mergeCell ref="B85:B117"/>
    <mergeCell ref="B148:B180"/>
    <mergeCell ref="B118:B147"/>
    <mergeCell ref="B181:B201"/>
    <mergeCell ref="B276:B285"/>
    <mergeCell ref="B246:B275"/>
    <mergeCell ref="B47:B84"/>
    <mergeCell ref="B3:B6"/>
    <mergeCell ref="B7:B13"/>
    <mergeCell ref="B14:B22"/>
    <mergeCell ref="B23:B31"/>
    <mergeCell ref="B32:B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23</vt:i4>
      </vt:variant>
    </vt:vector>
  </HeadingPairs>
  <TitlesOfParts>
    <vt:vector size="26" baseType="lpstr">
      <vt:lpstr>Ingreso Datos</vt:lpstr>
      <vt:lpstr>DATOS</vt:lpstr>
      <vt:lpstr>Comunas y regiones</vt:lpstr>
      <vt:lpstr>DESTINO_U_OBJETIVO_DE_LA_PRODUCCIÓN</vt:lpstr>
      <vt:lpstr>Nombre_cientifico</vt:lpstr>
      <vt:lpstr>NOMBRE_DE_VIVERO__CENTRO_DE_ACONDICIONAMIENTO_O_ACOPIO</vt:lpstr>
      <vt:lpstr>Región_de_Antofagasta</vt:lpstr>
      <vt:lpstr>Región_de_Arica_y_Parinacota</vt:lpstr>
      <vt:lpstr>Región_de_Atacama</vt:lpstr>
      <vt:lpstr>Región_de_Aysén_del_Gral_C_Ibáñez_del_Campo</vt:lpstr>
      <vt:lpstr>Región_de_Coquimbo</vt:lpstr>
      <vt:lpstr>Región_de_La_Araucanía</vt:lpstr>
      <vt:lpstr>Región_de_Los_Lagos</vt:lpstr>
      <vt:lpstr>Región_de_Los_Ríos</vt:lpstr>
      <vt:lpstr>Región_de_Magallanes_y_de_La_Antártica_Chilena</vt:lpstr>
      <vt:lpstr>Región_de_Ñuble</vt:lpstr>
      <vt:lpstr>Región_de_Tarapacá</vt:lpstr>
      <vt:lpstr>Región_de_Valparaíso</vt:lpstr>
      <vt:lpstr>Región_deArica_y_Parinacota</vt:lpstr>
      <vt:lpstr>Región_del_Bíobío</vt:lpstr>
      <vt:lpstr>Región_del_Libertador_B_O_Higgins</vt:lpstr>
      <vt:lpstr>Región_del_Maule</vt:lpstr>
      <vt:lpstr>Región_Metropolitana_de_Santiago</vt:lpstr>
      <vt:lpstr>Regiones_Chile</vt:lpstr>
      <vt:lpstr>TIPO_DE_CONTENEDOR</vt:lpstr>
      <vt:lpstr>TIPO_DE_REPRODUCCIÓN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Adán Díaz Gutiérrez; Claudia Alcaras Carvajal</dc:creator>
  <cp:lastModifiedBy>Conaf.licencia2@hotmail.com</cp:lastModifiedBy>
  <cp:lastPrinted>2019-01-14T14:31:33Z</cp:lastPrinted>
  <dcterms:created xsi:type="dcterms:W3CDTF">2016-03-29T19:10:23Z</dcterms:created>
  <dcterms:modified xsi:type="dcterms:W3CDTF">2026-02-19T19:41:03Z</dcterms:modified>
</cp:coreProperties>
</file>